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eece3ffa41e7d1/Desktop/ACSE_AI_Agent/backend/data/"/>
    </mc:Choice>
  </mc:AlternateContent>
  <xr:revisionPtr revIDLastSave="5" documentId="8_{7E65017C-A7AF-4DBD-B658-247B2A3463BB}" xr6:coauthVersionLast="47" xr6:coauthVersionMax="47" xr10:uidLastSave="{824E5AD2-B42E-4C6D-9604-0AC2E2F9D14C}"/>
  <bookViews>
    <workbookView xWindow="-108" yWindow="-108" windowWidth="23256" windowHeight="13896" tabRatio="1000" firstSheet="24" activeTab="24" xr2:uid="{00000000-000D-0000-FFFF-FFFF00000000}"/>
  </bookViews>
  <sheets>
    <sheet name="Sheet1" sheetId="16" r:id="rId1"/>
    <sheet name="ACSE-March" sheetId="2" r:id="rId2"/>
    <sheet name="June-24" sheetId="4" r:id="rId3"/>
    <sheet name="July-24" sheetId="5" r:id="rId4"/>
    <sheet name="Sept.-24" sheetId="6" r:id="rId5"/>
    <sheet name="Oct.24" sheetId="7" r:id="rId6"/>
    <sheet name="Nov24" sheetId="8" r:id="rId7"/>
    <sheet name="Chairman Sir meeting-25.11.24" sheetId="9" r:id="rId8"/>
    <sheet name="Dec.24" sheetId="10" r:id="rId9"/>
    <sheet name="Jan-25" sheetId="11" r:id="rId10"/>
    <sheet name="Feb-March-25" sheetId="12" r:id="rId11"/>
    <sheet name="Badges" sheetId="13" r:id="rId12"/>
    <sheet name="April-25" sheetId="14" r:id="rId13"/>
    <sheet name="May-25" sheetId="15" r:id="rId14"/>
    <sheet name="June 2025" sheetId="17" r:id="rId15"/>
    <sheet name="20 June 25" sheetId="18" r:id="rId16"/>
    <sheet name="01 July 25" sheetId="19" r:id="rId17"/>
    <sheet name="15 July 25" sheetId="20" r:id="rId18"/>
    <sheet name="1-Aug 25" sheetId="21" r:id="rId19"/>
    <sheet name="15 Sept.25" sheetId="23" r:id="rId20"/>
    <sheet name="Oct-25" sheetId="22" r:id="rId21"/>
    <sheet name="15 Nov-25" sheetId="24" r:id="rId22"/>
    <sheet name="1 Dec.-25" sheetId="25" r:id="rId23"/>
    <sheet name="20 Dec.25" sheetId="26" r:id="rId24"/>
    <sheet name="01.01.26" sheetId="27" r:id="rId25"/>
    <sheet name="Sheet3" sheetId="29" r:id="rId26"/>
    <sheet name="Sheet2" sheetId="28" r:id="rId27"/>
  </sheets>
  <definedNames>
    <definedName name="_xlnm._FilterDatabase" localSheetId="20" hidden="1">'Oct-25'!$A$59:$E$101</definedName>
    <definedName name="_xlnm._FilterDatabase" localSheetId="26" hidden="1">Sheet2!$A$111:$I$161</definedName>
    <definedName name="_xlnm.Print_Titles" localSheetId="26">Sheet2!$5:$5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7" l="1"/>
  <c r="G53" i="27" l="1"/>
  <c r="E111" i="27" l="1"/>
  <c r="G52" i="27"/>
  <c r="G51" i="27"/>
  <c r="G50" i="27"/>
  <c r="G49" i="27"/>
  <c r="G48" i="27"/>
  <c r="G47" i="27"/>
  <c r="G45" i="27"/>
  <c r="G44" i="27"/>
  <c r="G43" i="27"/>
  <c r="G42" i="27"/>
  <c r="G41" i="27"/>
  <c r="G37" i="27"/>
  <c r="G36" i="27"/>
  <c r="G35" i="27"/>
  <c r="G34" i="27"/>
  <c r="G33" i="27"/>
  <c r="G32" i="27"/>
  <c r="G31" i="27"/>
  <c r="G30" i="27"/>
  <c r="G29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E120" i="26" l="1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37" i="26"/>
  <c r="G36" i="26"/>
  <c r="G35" i="26"/>
  <c r="G34" i="26"/>
  <c r="G33" i="26"/>
  <c r="G32" i="26"/>
  <c r="G31" i="26"/>
  <c r="G29" i="26"/>
  <c r="G28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4" i="25" l="1"/>
  <c r="G44" i="25"/>
  <c r="G28" i="25"/>
  <c r="G25" i="25"/>
  <c r="G14" i="25"/>
  <c r="G15" i="25"/>
  <c r="G16" i="25"/>
  <c r="G17" i="25"/>
  <c r="G18" i="25"/>
  <c r="G19" i="25"/>
  <c r="G20" i="25"/>
  <c r="G21" i="25"/>
  <c r="G22" i="25"/>
  <c r="G23" i="25"/>
  <c r="G24" i="25"/>
  <c r="G13" i="25"/>
  <c r="G11" i="25"/>
  <c r="G12" i="25"/>
  <c r="G10" i="25"/>
  <c r="G8" i="25"/>
  <c r="G9" i="25"/>
  <c r="G50" i="25" l="1"/>
  <c r="G51" i="25"/>
  <c r="G52" i="25"/>
  <c r="E126" i="25"/>
  <c r="G49" i="25"/>
  <c r="G48" i="25"/>
  <c r="G47" i="25"/>
  <c r="G46" i="25"/>
  <c r="G45" i="25"/>
  <c r="G53" i="25"/>
  <c r="G43" i="25"/>
  <c r="G42" i="25"/>
  <c r="G41" i="25"/>
  <c r="G37" i="25"/>
  <c r="G36" i="25"/>
  <c r="G35" i="25"/>
  <c r="G34" i="25"/>
  <c r="G33" i="25"/>
  <c r="G32" i="25"/>
  <c r="G31" i="25"/>
  <c r="G30" i="25"/>
  <c r="G29" i="25"/>
  <c r="G7" i="25"/>
  <c r="G6" i="25"/>
  <c r="E129" i="24" l="1"/>
  <c r="G49" i="24"/>
  <c r="G50" i="24"/>
  <c r="G46" i="24"/>
  <c r="G47" i="24"/>
  <c r="G48" i="24"/>
  <c r="G44" i="24"/>
  <c r="G43" i="24" l="1"/>
  <c r="G42" i="24"/>
  <c r="G41" i="24"/>
  <c r="G37" i="24"/>
  <c r="G36" i="24"/>
  <c r="G35" i="24"/>
  <c r="G34" i="24"/>
  <c r="G33" i="24"/>
  <c r="G32" i="24"/>
  <c r="G31" i="24"/>
  <c r="G30" i="24"/>
  <c r="G29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2" i="24"/>
  <c r="G11" i="24"/>
  <c r="G9" i="24"/>
  <c r="G8" i="24"/>
  <c r="G7" i="24"/>
  <c r="G6" i="24"/>
  <c r="G50" i="22" l="1"/>
  <c r="G49" i="22"/>
  <c r="G48" i="22"/>
  <c r="G47" i="22"/>
  <c r="G46" i="22"/>
  <c r="G45" i="22"/>
  <c r="G42" i="22"/>
  <c r="G41" i="22"/>
  <c r="G40" i="22"/>
  <c r="G36" i="22"/>
  <c r="G35" i="22"/>
  <c r="G34" i="22"/>
  <c r="G33" i="22"/>
  <c r="G32" i="22"/>
  <c r="G31" i="22"/>
  <c r="G30" i="22"/>
  <c r="G29" i="22"/>
  <c r="G28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2" i="22"/>
  <c r="G11" i="22"/>
  <c r="G9" i="22"/>
  <c r="G8" i="22"/>
  <c r="G7" i="22"/>
  <c r="G6" i="22"/>
  <c r="H49" i="23" l="1"/>
  <c r="H48" i="23"/>
  <c r="H47" i="23"/>
  <c r="H46" i="23"/>
  <c r="H45" i="23"/>
  <c r="H44" i="23"/>
  <c r="H42" i="23"/>
  <c r="H41" i="23"/>
  <c r="H40" i="23"/>
  <c r="H36" i="23"/>
  <c r="H35" i="23"/>
  <c r="H34" i="23"/>
  <c r="H33" i="23"/>
  <c r="H32" i="23"/>
  <c r="H31" i="23"/>
  <c r="H30" i="23"/>
  <c r="H29" i="23"/>
  <c r="H28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C166" i="20" l="1"/>
  <c r="H6" i="21" l="1"/>
  <c r="G6" i="17" l="1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" i="17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" i="18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3" i="20"/>
  <c r="G44" i="20"/>
  <c r="G45" i="20"/>
  <c r="G46" i="20"/>
  <c r="G47" i="20"/>
  <c r="G48" i="20"/>
  <c r="G49" i="20"/>
  <c r="G50" i="20"/>
  <c r="G51" i="20"/>
  <c r="G6" i="20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8" i="21"/>
  <c r="H29" i="21"/>
  <c r="H30" i="21"/>
  <c r="H31" i="21"/>
  <c r="H32" i="21"/>
  <c r="H33" i="21"/>
  <c r="H34" i="21"/>
  <c r="H35" i="21"/>
  <c r="H36" i="21"/>
  <c r="H40" i="21"/>
  <c r="H41" i="21"/>
  <c r="H42" i="21"/>
  <c r="H43" i="21"/>
  <c r="H44" i="21"/>
  <c r="H45" i="21"/>
  <c r="H46" i="21"/>
  <c r="H47" i="21"/>
  <c r="H48" i="21"/>
  <c r="G5" i="19"/>
  <c r="H155" i="20" l="1"/>
  <c r="G6" i="19" l="1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9" i="19"/>
  <c r="G30" i="19"/>
  <c r="G31" i="19"/>
  <c r="G32" i="19"/>
  <c r="G33" i="19"/>
  <c r="G34" i="19"/>
  <c r="G35" i="19"/>
  <c r="G36" i="19"/>
  <c r="G37" i="19"/>
  <c r="G38" i="19"/>
  <c r="G42" i="19"/>
  <c r="G43" i="19"/>
  <c r="G44" i="19"/>
  <c r="G45" i="19"/>
  <c r="G46" i="19"/>
  <c r="G47" i="19"/>
  <c r="G48" i="19"/>
  <c r="G49" i="19"/>
  <c r="G50" i="19"/>
  <c r="G51" i="19"/>
  <c r="I50" i="19" l="1"/>
  <c r="H50" i="19"/>
  <c r="E85" i="18" l="1"/>
  <c r="D84" i="17"/>
  <c r="E82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55" i="15"/>
  <c r="H54" i="15"/>
  <c r="H52" i="15"/>
  <c r="H51" i="15"/>
  <c r="H50" i="15"/>
  <c r="H49" i="15"/>
  <c r="H48" i="15"/>
  <c r="H47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D88" i="14"/>
  <c r="D91" i="12"/>
  <c r="D82" i="11"/>
  <c r="E80" i="10"/>
  <c r="G61" i="7"/>
  <c r="I61" i="7" s="1"/>
  <c r="H59" i="7"/>
  <c r="H54" i="7"/>
  <c r="C60" i="2"/>
  <c r="L30" i="16"/>
  <c r="L28" i="16"/>
  <c r="L27" i="16"/>
  <c r="N13" i="16"/>
  <c r="O13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N4" i="16"/>
  <c r="O4" i="16" s="1"/>
  <c r="N3" i="16"/>
  <c r="O3" i="16" s="1"/>
</calcChain>
</file>

<file path=xl/sharedStrings.xml><?xml version="1.0" encoding="utf-8"?>
<sst xmlns="http://schemas.openxmlformats.org/spreadsheetml/2006/main" count="5331" uniqueCount="716">
  <si>
    <t>ACSE Department Faculty list 2023-II Semester</t>
  </si>
  <si>
    <t>Sl.No</t>
  </si>
  <si>
    <t>EMP</t>
  </si>
  <si>
    <t>Name of the Faculty</t>
  </si>
  <si>
    <t>Designation</t>
  </si>
  <si>
    <t>Qualification</t>
  </si>
  <si>
    <t xml:space="preserve">GATE/NET Qualified </t>
  </si>
  <si>
    <t>Date of Joining</t>
  </si>
  <si>
    <t>Mobile No.</t>
  </si>
  <si>
    <t>Dr. D. Venkatesulu</t>
  </si>
  <si>
    <t>Professor &amp; 
ACSE HOD</t>
  </si>
  <si>
    <t>M.Tech., CS&amp;T
M.Sc.Elec.</t>
  </si>
  <si>
    <t>1988
***
1985</t>
  </si>
  <si>
    <t>Andhra University</t>
  </si>
  <si>
    <t>Ph.D.</t>
  </si>
  <si>
    <t>8.5
1999</t>
  </si>
  <si>
    <t>IIT - Madras</t>
  </si>
  <si>
    <t>IIT</t>
  </si>
  <si>
    <t>Dr.M.NirupamaBhat</t>
  </si>
  <si>
    <t>Professor</t>
  </si>
  <si>
    <t>M.Phil., M.C.A</t>
  </si>
  <si>
    <t>2005, 1993</t>
  </si>
  <si>
    <t>Mother Teresa Womens University
***
Sri Padmavahti Mahila Viswa Vidyalayam</t>
  </si>
  <si>
    <t>Ph.D(CSE) 2015</t>
  </si>
  <si>
    <t>Sri Padmavahti Mahila Viswa Vidyalayam</t>
  </si>
  <si>
    <t>Others</t>
  </si>
  <si>
    <t>Dr. D. Radha Rani</t>
  </si>
  <si>
    <t>Assoc. Prof.</t>
  </si>
  <si>
    <t>M.Tech.,CSE</t>
  </si>
  <si>
    <t>77%, 2010</t>
  </si>
  <si>
    <t>JNTU Hyderabad</t>
  </si>
  <si>
    <t>Ph.D(CSE) 2021 Aug.</t>
  </si>
  <si>
    <t>BITS Pilani</t>
  </si>
  <si>
    <t>Dr. Sivadi Balakrishna</t>
  </si>
  <si>
    <t>Asst. Prof.</t>
  </si>
  <si>
    <t>M.Tech., CSE.</t>
  </si>
  <si>
    <t>79.5%, 2013</t>
  </si>
  <si>
    <t>JNTU Kakinada</t>
  </si>
  <si>
    <t>Ph.D(CSE) 2020</t>
  </si>
  <si>
    <t>Pondicherry University</t>
  </si>
  <si>
    <t>NET</t>
  </si>
  <si>
    <t>Central</t>
  </si>
  <si>
    <t>Dr. B. Jyostna Devi</t>
  </si>
  <si>
    <t>M.Tech., CSE
M.C.A.CA</t>
  </si>
  <si>
    <t>2010, 2005</t>
  </si>
  <si>
    <t>JNTU Kakinada
***
ANU</t>
  </si>
  <si>
    <t>Ph.D(CSE) 2023</t>
  </si>
  <si>
    <t>VFSTR</t>
  </si>
  <si>
    <t>GATE</t>
  </si>
  <si>
    <t>Mr. D.S. BhupalNaik</t>
  </si>
  <si>
    <t>M.Tech. Information S</t>
  </si>
  <si>
    <t>72%, 2009</t>
  </si>
  <si>
    <t>NIT - Calicut</t>
  </si>
  <si>
    <t>-</t>
  </si>
  <si>
    <t>NIT</t>
  </si>
  <si>
    <t>Ms. S. Radha Rani</t>
  </si>
  <si>
    <t>M.Tech. CS&amp;IT</t>
  </si>
  <si>
    <t>8.1, 2014</t>
  </si>
  <si>
    <t>Mr. J. Amar</t>
  </si>
  <si>
    <t>77.9%, 2013</t>
  </si>
  <si>
    <t>Karunya University</t>
  </si>
  <si>
    <t>UGGE Naga Nandini</t>
  </si>
  <si>
    <t>Teaching Assistant</t>
  </si>
  <si>
    <t>Ch. Rose Rani</t>
  </si>
  <si>
    <t>M.Tech(IT) 2015</t>
  </si>
  <si>
    <t xml:space="preserve">IIIT Central </t>
  </si>
  <si>
    <t>02442</t>
  </si>
  <si>
    <t>Dr. Arnab De</t>
  </si>
  <si>
    <t>Assistant Professor</t>
  </si>
  <si>
    <t>M.Tech., ECE</t>
  </si>
  <si>
    <t>8.83
2014</t>
  </si>
  <si>
    <t>West Bengal University of Technology</t>
  </si>
  <si>
    <t>NIT Durgapur</t>
  </si>
  <si>
    <t>Mr. Ch. Amarendra</t>
  </si>
  <si>
    <t xml:space="preserve">M.Tech (PED), M.Tech (CSE) </t>
  </si>
  <si>
    <t>2013, 2022</t>
  </si>
  <si>
    <t xml:space="preserve"> K L University, Vijayawada; M.Tech (CSE): Aditya Engineering College</t>
  </si>
  <si>
    <t>KL University, Vijayawada</t>
  </si>
  <si>
    <t>Mr.  G. John Bob</t>
  </si>
  <si>
    <t>B.Tech., ECE., M.Tech., ECE.</t>
  </si>
  <si>
    <t>1st class, 2009
85.3%, 2011</t>
  </si>
  <si>
    <t>ANU, IIT Khargpur</t>
  </si>
  <si>
    <t>IIT Khargpur</t>
  </si>
  <si>
    <t>Dr. Mastan Sharif</t>
  </si>
  <si>
    <t>Sr. Asst. Prof.</t>
  </si>
  <si>
    <t>M.Tech. DS&amp;CE</t>
  </si>
  <si>
    <t>Ph.D., ECE</t>
  </si>
  <si>
    <t>JNTUK</t>
  </si>
  <si>
    <t>Mr. Vijai Meyyappan Moorthy</t>
  </si>
  <si>
    <t>Asst. Prof. 
Senior Level</t>
  </si>
  <si>
    <t>B.Tech. (CSE), M.Tech., ECE, VLSI Design</t>
  </si>
  <si>
    <t>1st class 2008, 1st class 2010</t>
  </si>
  <si>
    <t>University Campus Thanjavur</t>
  </si>
  <si>
    <t>Ph.D</t>
  </si>
  <si>
    <t>Annamalai University</t>
  </si>
  <si>
    <t>Dr. Benson Manshigh PM</t>
  </si>
  <si>
    <t xml:space="preserve">B.Tech., ECE.,  M.Tech., ICE </t>
  </si>
  <si>
    <t>1st class, 2010, 1st class, 2014</t>
  </si>
  <si>
    <t>Anna University, 
Coimbatore</t>
  </si>
  <si>
    <t>Ph.D.,
 Information &amp; Communication Engineering</t>
  </si>
  <si>
    <t>Anna University, Coimbatore</t>
  </si>
  <si>
    <t>Dr. C. Sateesh Kumar Reddy</t>
  </si>
  <si>
    <t>M.Tech. ES</t>
  </si>
  <si>
    <t>79.25%, 2011</t>
  </si>
  <si>
    <t>ECET, Hyderabad, T.S</t>
  </si>
  <si>
    <t>Ph.D., SP</t>
  </si>
  <si>
    <t>VIT University, T.N</t>
  </si>
  <si>
    <t>Dr. Britto Manoj</t>
  </si>
  <si>
    <t>M.Tech</t>
  </si>
  <si>
    <t>Dr. Arul Elango</t>
  </si>
  <si>
    <t>M.tech., A.Elec,.</t>
  </si>
  <si>
    <t>1st class, 2004</t>
  </si>
  <si>
    <t>Ph.D.,ECE</t>
  </si>
  <si>
    <t>Dr. G. Kalaiarasi</t>
  </si>
  <si>
    <t>M.Tech., VLSID</t>
  </si>
  <si>
    <t>1st class, 2011</t>
  </si>
  <si>
    <t>Ph.D., ICE</t>
  </si>
  <si>
    <t>Mr. S. Krishna Kishore</t>
  </si>
  <si>
    <t>M.Tech.</t>
  </si>
  <si>
    <t>IIIT, Kanchipuram, Chennai</t>
  </si>
  <si>
    <t>Dr. S.Srikantha Reddy</t>
  </si>
  <si>
    <t xml:space="preserve">Ph.D, </t>
  </si>
  <si>
    <t>8978116834
7013447564</t>
  </si>
  <si>
    <t>Dr. Abinav Adarsh</t>
  </si>
  <si>
    <t>Sr.Assit.Prof.</t>
  </si>
  <si>
    <t>MNNIT, Allahabad</t>
  </si>
  <si>
    <t xml:space="preserve">Ph.D </t>
  </si>
  <si>
    <t>Dr. B. Sudha Rani</t>
  </si>
  <si>
    <t>B.Tech.ECE., 
M.Tech.VLSD</t>
  </si>
  <si>
    <t>VIST, Bhuvanagiri</t>
  </si>
  <si>
    <t>Ph. D., (ECE)</t>
  </si>
  <si>
    <t>Mr.N. Murali Krishna</t>
  </si>
  <si>
    <t>Prog.cum TA</t>
  </si>
  <si>
    <t>Mr.K.Sambasivarao</t>
  </si>
  <si>
    <t>M.Sc. (IT)</t>
  </si>
  <si>
    <t>Ms. Annapurna V</t>
  </si>
  <si>
    <t>Programmer</t>
  </si>
  <si>
    <t>B.Sc., MBA.</t>
  </si>
  <si>
    <t>2013, 2015</t>
  </si>
  <si>
    <t>SCAS, Maddirala, NIT, Engg. College, JNTUK</t>
  </si>
  <si>
    <t>Mrs. Ambati Hemalatha</t>
  </si>
  <si>
    <t>70%, 2021</t>
  </si>
  <si>
    <t>Ms. Karuna Kumari</t>
  </si>
  <si>
    <t>Jr. Asst.</t>
  </si>
  <si>
    <t>B.Tech., 2021</t>
  </si>
  <si>
    <t>St. Marys Womens Engg. College, Budampadu, Guntur JNTUK</t>
  </si>
  <si>
    <t>Mr. P. Blessy Hodson</t>
  </si>
  <si>
    <t>Lab Technician</t>
  </si>
  <si>
    <t>B.Tech., 2022</t>
  </si>
  <si>
    <t>LARA Engg. College Vadlamudi, JNTUK</t>
  </si>
  <si>
    <t xml:space="preserve"> Dr. HILLY GOHAIN BARUAH</t>
  </si>
  <si>
    <t>Dr. Brij Kishor Tiwari</t>
  </si>
  <si>
    <t>M.Sc.,B.Tech.</t>
  </si>
  <si>
    <t>Mr. Akash Mishra</t>
  </si>
  <si>
    <t>Dr. Jawad Ahmad Dar</t>
  </si>
  <si>
    <t xml:space="preserve"> B.Tech., M.Tech.</t>
  </si>
  <si>
    <t>Dr. Shaik John Saida</t>
  </si>
  <si>
    <t>Asst. Prof. Senior Level</t>
  </si>
  <si>
    <t xml:space="preserve">B.Tech., ECE., 
M.Tech., DIP. </t>
  </si>
  <si>
    <t>1st class, 2010, 
1st class, 2012</t>
  </si>
  <si>
    <t xml:space="preserve">JNTUK,  JNTUK, </t>
  </si>
  <si>
    <t>IIT Rourkela</t>
  </si>
  <si>
    <t>91 9861564126</t>
  </si>
  <si>
    <t>Mrs. I.Leela Priya</t>
  </si>
  <si>
    <t>Asst. Prof</t>
  </si>
  <si>
    <t>B.Tech., M.Tech.,</t>
  </si>
  <si>
    <t>80%, 2007</t>
  </si>
  <si>
    <t>JNTUH</t>
  </si>
  <si>
    <t>Ms. G. Mahalakshmi</t>
  </si>
  <si>
    <t>B.Sc., M.Tech., MCA., M.Phil., M.Sc.</t>
  </si>
  <si>
    <t>Dr. B.Reddy Mounika Bommisetty</t>
  </si>
  <si>
    <t>B.Tech., (ECE), 
M.Tech., DECS</t>
  </si>
  <si>
    <t>1st class, 2009, 
1st class, 2012</t>
  </si>
  <si>
    <t>JNTU Ananthapur, 
JNTU Ananthapur.</t>
  </si>
  <si>
    <t>University of Allahabad</t>
  </si>
  <si>
    <t>Dr.Banoth Thulasya Naik</t>
  </si>
  <si>
    <t>Mr.D.N.Kiran Pandiri</t>
  </si>
  <si>
    <t>MITS, Madanapalli.</t>
  </si>
  <si>
    <t xml:space="preserve">Ms. J. Indira </t>
  </si>
  <si>
    <t>Eva Patel</t>
  </si>
  <si>
    <t>Associate Professor</t>
  </si>
  <si>
    <t>Mr. P.Tarun Sai</t>
  </si>
  <si>
    <t>B.Tech</t>
  </si>
  <si>
    <t>Mr.I.Surya Teja</t>
  </si>
  <si>
    <t>Mr.Kakani Vamsi</t>
  </si>
  <si>
    <t>Mr.K.Durga Venkata Kumar</t>
  </si>
  <si>
    <t>Mr.B.Harsha Vardhan</t>
  </si>
  <si>
    <t>Mr. M. Hitesh Hari Hara Nandh</t>
  </si>
  <si>
    <t>Ms.MD.Salafsha Afrin</t>
  </si>
  <si>
    <t>Mr. P Srinivasa Rao</t>
  </si>
  <si>
    <t>Ms. Jayamma Rodda</t>
  </si>
  <si>
    <t>Mr.Bharadwaja Chepuri</t>
  </si>
  <si>
    <t>Trainer (Assistant Professor)</t>
  </si>
  <si>
    <t>Dr. A.V. Nageswara Rao</t>
  </si>
  <si>
    <t>Gunakala Archana</t>
  </si>
  <si>
    <t>Vivek Patel</t>
  </si>
  <si>
    <t xml:space="preserve">T. Bala Krishna </t>
  </si>
  <si>
    <t>Ms. Syed Reshma</t>
  </si>
  <si>
    <t>CAP</t>
  </si>
  <si>
    <t>Sk. Mahabub Basha</t>
  </si>
  <si>
    <t>T.N.V.D. Sai Krishna</t>
  </si>
  <si>
    <t>Mr. Brundavanam SatyaSai</t>
  </si>
  <si>
    <t>Ms. S. Krishna Veni</t>
  </si>
  <si>
    <t xml:space="preserve">Teaching Instructure </t>
  </si>
  <si>
    <t>Dr. Guttikonda Prashanti</t>
  </si>
  <si>
    <t>Ms. P. Rachana</t>
  </si>
  <si>
    <t>MS. D. Mounika</t>
  </si>
  <si>
    <t xml:space="preserve">Ms. Talakala Deepthi </t>
  </si>
  <si>
    <t>MS. Manne Rajeswari</t>
  </si>
  <si>
    <t>Mr. Jampani Karthik</t>
  </si>
  <si>
    <t>Mr. Depuri Venugopal</t>
  </si>
  <si>
    <t>MR.SHAIK MOHAMMAD IQBAL</t>
  </si>
  <si>
    <t>Nelavalli Sri Sai Mounika</t>
  </si>
  <si>
    <t>Palukuri Deepika</t>
  </si>
  <si>
    <t>ACSE Department Faculty list</t>
  </si>
  <si>
    <t>Meeting 25.05.2024</t>
  </si>
  <si>
    <t>E.Code</t>
  </si>
  <si>
    <t>Professor &amp; ACSE HOD</t>
  </si>
  <si>
    <t>Dr. Ch. Amarendra</t>
  </si>
  <si>
    <t>Ms. P Naga Sravanthi</t>
  </si>
  <si>
    <t>Dr. Vijai Meyyappan Moorthy</t>
  </si>
  <si>
    <t>Dr.  P.M. Benson Mansingh</t>
  </si>
  <si>
    <t>Sr.Asst.Prof.</t>
  </si>
  <si>
    <t xml:space="preserve"> Dr. Hilly Gohain Baruah</t>
  </si>
  <si>
    <t>Mr. C. Elangovan</t>
  </si>
  <si>
    <t>Dr.Jawad Ahmad Dar</t>
  </si>
  <si>
    <t>Asst.Prof</t>
  </si>
  <si>
    <t xml:space="preserve">Dr Brij Kishor Tiwari </t>
  </si>
  <si>
    <t>ERA</t>
  </si>
  <si>
    <t>Dept.</t>
  </si>
  <si>
    <t>Total</t>
  </si>
  <si>
    <t>Married</t>
  </si>
  <si>
    <t> Un married(or) single</t>
  </si>
  <si>
    <t>Mr.P Srinivasa Rao</t>
  </si>
  <si>
    <t>TA</t>
  </si>
  <si>
    <t xml:space="preserve">a. Teaching: </t>
  </si>
  <si>
    <t>ACSE</t>
  </si>
  <si>
    <t>b. Non-Teaching:</t>
  </si>
  <si>
    <t>Department of ACSE Non Teaching Staff</t>
  </si>
  <si>
    <t>S.No</t>
  </si>
  <si>
    <t>Emp.code</t>
  </si>
  <si>
    <t>Name of the Staff</t>
  </si>
  <si>
    <t>Contact No</t>
  </si>
  <si>
    <t>Ambati Hemalatha</t>
  </si>
  <si>
    <t>Ms. R. Naga Sirisha</t>
  </si>
  <si>
    <t>Ms. Shaik Reshma</t>
  </si>
  <si>
    <t>D.Lakshmi Prasanna</t>
  </si>
  <si>
    <t>Mr. Vinay</t>
  </si>
  <si>
    <t>K. Sujatha</t>
  </si>
  <si>
    <t>K.Karuna Kumari</t>
  </si>
  <si>
    <t>G. Siva Manikanta</t>
  </si>
  <si>
    <t>Attender</t>
  </si>
  <si>
    <t>N.Mounika</t>
  </si>
  <si>
    <t>T</t>
  </si>
  <si>
    <t>Prog.</t>
  </si>
  <si>
    <t>Jr.</t>
  </si>
  <si>
    <t>Atten</t>
  </si>
  <si>
    <t>Additional Dean</t>
  </si>
  <si>
    <t>HoD, ACSE</t>
  </si>
  <si>
    <t>Officiating Associate Professor, 
Head, Content, Training of New Facutly, SCI</t>
  </si>
  <si>
    <t>Dr. Reddy Mounika B</t>
  </si>
  <si>
    <t>Dr. Hilly Gohain Baruah</t>
  </si>
  <si>
    <t>Mr. Elangovan C</t>
  </si>
  <si>
    <t>Ms. G.Mahalakshm</t>
  </si>
  <si>
    <t>Ms. Divya Mishra</t>
  </si>
  <si>
    <t>Prog./ TA</t>
  </si>
  <si>
    <t>Mr. P.B. Manju Nadha</t>
  </si>
  <si>
    <t>Lab-Technician</t>
  </si>
  <si>
    <t>Ms. D. Lakshmi Prasanna</t>
  </si>
  <si>
    <t>Mr. Jampani Vinay</t>
  </si>
  <si>
    <t>Jr. Assistant</t>
  </si>
  <si>
    <t>Ms. K Karuna Kumari</t>
  </si>
  <si>
    <t>Mr. M. Siva Manikanta</t>
  </si>
  <si>
    <t>Ms. N. Mounika</t>
  </si>
  <si>
    <t>Department of ACSE</t>
  </si>
  <si>
    <t xml:space="preserve"> Faculty Meeting  Signature Sheet - 31.07.2024</t>
  </si>
  <si>
    <t>Sign.</t>
  </si>
  <si>
    <t>Dr.M.Nirupama Bhat</t>
  </si>
  <si>
    <t>Officiating Associate Professor, 
Head, Content, Training of New Facutly,SCI</t>
  </si>
  <si>
    <t>Dr. Eva Patel</t>
  </si>
  <si>
    <t>Ms. Ch. Rose Rani</t>
  </si>
  <si>
    <t>Mr.Bhavani Manjunadha Penugonda</t>
  </si>
  <si>
    <t xml:space="preserve">Mrs. Vijaya Lakshmi </t>
  </si>
  <si>
    <t>Visiting Faculty</t>
  </si>
  <si>
    <t>Student TA's 2024-25 Semester I</t>
  </si>
  <si>
    <t>Emp Code</t>
  </si>
  <si>
    <t>Name of the TA</t>
  </si>
  <si>
    <t>Relieving Dt.</t>
  </si>
  <si>
    <t>Ms. Poojitha Tadepalli</t>
  </si>
  <si>
    <t>Mr. Venkatesh yalamarthi</t>
  </si>
  <si>
    <t>Mr. Shaik Mohammad Fayaz</t>
  </si>
  <si>
    <t>14.09.2024</t>
  </si>
  <si>
    <t>Mr. Mannava Akshay</t>
  </si>
  <si>
    <t>M V S N Rohith</t>
  </si>
  <si>
    <t>Sk Irshad</t>
  </si>
  <si>
    <t>R. Sai kamal</t>
  </si>
  <si>
    <t xml:space="preserve">Mr. G. Sai Eswar </t>
  </si>
  <si>
    <t>chenged to TRA</t>
  </si>
  <si>
    <t>Ms. Rachana</t>
  </si>
  <si>
    <t>Dr. M.Nirupama Bhat</t>
  </si>
  <si>
    <t xml:space="preserve">Dr. Brij Kishor Tiwari </t>
  </si>
  <si>
    <t>Dr. Banoth Thulasya Naik</t>
  </si>
  <si>
    <t>Mr. D.N.Kiran Pandiri</t>
  </si>
  <si>
    <t>15.09.2024</t>
  </si>
  <si>
    <t>Ms. UGGE Naga Nandini</t>
  </si>
  <si>
    <t>Mr. N. Murali Krishna</t>
  </si>
  <si>
    <t>Mr. K.Sambasivarao</t>
  </si>
  <si>
    <t>Ms. Akansha Rai</t>
  </si>
  <si>
    <t>Ms. Ambati Hemalatha</t>
  </si>
  <si>
    <t>TRA</t>
  </si>
  <si>
    <t>Student Tas</t>
  </si>
  <si>
    <t>Mr. I.Surya Teja</t>
  </si>
  <si>
    <t>Mr. Kakani Vamsi</t>
  </si>
  <si>
    <t>Mr. K.Durga Venkata Kumar</t>
  </si>
  <si>
    <t>Mr. B.Harsha Vardhan</t>
  </si>
  <si>
    <t>Ms. MD.Salafsha Afrin</t>
  </si>
  <si>
    <t>Sk. Irshad</t>
  </si>
  <si>
    <t>Officiating Associate Professor, Head, Content, Training of New Facutly,SCI</t>
  </si>
  <si>
    <t>Dr. Chennapradaga Amarendra</t>
  </si>
  <si>
    <t>Dr. A.V. Nageswara rao</t>
  </si>
  <si>
    <t>Prog./ Teaching Assistant</t>
  </si>
  <si>
    <t>Prog./Teaching Assistant</t>
  </si>
  <si>
    <t>Sk Reehana</t>
  </si>
  <si>
    <t>Lab Technicians</t>
  </si>
  <si>
    <t>Basha</t>
  </si>
  <si>
    <t>Non-Teaching Staff</t>
  </si>
  <si>
    <t>Sign</t>
  </si>
  <si>
    <t>Dr. D.N.Kiran Pandiri</t>
  </si>
  <si>
    <t xml:space="preserve">Department of ACSE </t>
  </si>
  <si>
    <t>Dr. Britto Manoj . A</t>
  </si>
  <si>
    <t>Professor of Practice</t>
  </si>
  <si>
    <t>Mr. Ramesh N Raghavan</t>
  </si>
  <si>
    <t>Mr.Lakshmi Kumaran Kodandaraman</t>
  </si>
  <si>
    <t>Dr. Bala</t>
  </si>
  <si>
    <t>M.M.Naidu</t>
  </si>
  <si>
    <t>Dr. N.Vinay Kumar</t>
  </si>
  <si>
    <t>Dr. G.V.S.R.Anjaneyulu</t>
  </si>
  <si>
    <t>Ms. M.Vijaya Lakshmi</t>
  </si>
  <si>
    <t>TAs</t>
  </si>
  <si>
    <t>Sk. Mahabub Basha,</t>
  </si>
  <si>
    <t>Faculty</t>
  </si>
  <si>
    <t>ERA/TRA</t>
  </si>
  <si>
    <t>Tas</t>
  </si>
  <si>
    <t xml:space="preserve">Lab Tech. </t>
  </si>
  <si>
    <t>non-Tech.</t>
  </si>
  <si>
    <t>2024-25 II Semester</t>
  </si>
  <si>
    <t>Mrs. M. Durga Bhavani</t>
  </si>
  <si>
    <t>Non-Teaching.</t>
  </si>
  <si>
    <t>DR. S. Hanumantha Rao</t>
  </si>
  <si>
    <t>2024-25 II Semester Modified List</t>
  </si>
  <si>
    <t>Badges  details</t>
  </si>
  <si>
    <t>Prof. Venkatesulu Dondeti</t>
  </si>
  <si>
    <t>Dr. Jyostna Devi Bodapati</t>
  </si>
  <si>
    <t>Dr. SK. Mastan Sharif</t>
  </si>
  <si>
    <t>Dr. Vijai Meyyappan M</t>
  </si>
  <si>
    <t>Dr. P.M. Benson Mansingh</t>
  </si>
  <si>
    <t>Dr. D.S. Bhupal Naik</t>
  </si>
  <si>
    <t>Dr. DS. Bhupal Naik</t>
  </si>
  <si>
    <t>Dr. Amar Jukuntla</t>
  </si>
  <si>
    <t>Dr. A. Britto Manoj</t>
  </si>
  <si>
    <t>Dr. S. Sreekantha Reddy</t>
  </si>
  <si>
    <t>Dr. B.Thulasya Naik</t>
  </si>
  <si>
    <t>Mr. P. Srinivasa Rao</t>
  </si>
  <si>
    <t>Trainer 
(Assistant Professor)</t>
  </si>
  <si>
    <t>Mr. Bharadwaja Chepuri</t>
  </si>
  <si>
    <t>Ms. Gunakala Archana</t>
  </si>
  <si>
    <t>Ms. G. Archana</t>
  </si>
  <si>
    <t>Mr. Vivek Patel</t>
  </si>
  <si>
    <t>Mr. K. Sambasiva Rao</t>
  </si>
  <si>
    <t>Mr. T.N.V.D. Sai Krishna</t>
  </si>
  <si>
    <t>Mr. T. Sai Krishna</t>
  </si>
  <si>
    <t>Mr. B. SatyaSai</t>
  </si>
  <si>
    <t>Teaching Instructor</t>
  </si>
  <si>
    <t>Mrs. P. Seethalakshmi</t>
  </si>
  <si>
    <t xml:space="preserve">Asst. Professor </t>
  </si>
  <si>
    <t>Dr. A. Subramanyam</t>
  </si>
  <si>
    <t>Mr. Y.Ashok</t>
  </si>
  <si>
    <t>2024-25 II Semester - Meeting (25.04.25)</t>
  </si>
  <si>
    <t>Dr. D.S. BhupalNaik</t>
  </si>
  <si>
    <t>231FA23016</t>
  </si>
  <si>
    <t>231FA23035</t>
  </si>
  <si>
    <t>Experience
17.05.25</t>
  </si>
  <si>
    <t>Dr. S. Hanumantha Rao</t>
  </si>
  <si>
    <t>Officiating Associate Professor</t>
  </si>
  <si>
    <t>Ms. I.Leela Priya</t>
  </si>
  <si>
    <t>Mr. Brundavanam Satya Sai</t>
  </si>
  <si>
    <t>Asst. Professor (Contract)</t>
  </si>
  <si>
    <t>Dr. Avvaru Subramanyam</t>
  </si>
  <si>
    <t>Mr. Srinivasa Rao Pallanti</t>
  </si>
  <si>
    <t>Mr. P.L.N. Manoj Kumar</t>
  </si>
  <si>
    <t>Mr. Sk. Mahabub Basha</t>
  </si>
  <si>
    <t>Mr. Yetcherla Ashok</t>
  </si>
  <si>
    <t>TA(4Y)</t>
  </si>
  <si>
    <t>Faculty Badgets Signature Sheet</t>
  </si>
  <si>
    <t>D.o.J</t>
  </si>
  <si>
    <t>Signature</t>
  </si>
  <si>
    <t>Associate Professor &amp; HoD</t>
  </si>
  <si>
    <t>2442</t>
  </si>
  <si>
    <t>Dr. A Subramanyam</t>
  </si>
  <si>
    <t>05.06.2025</t>
  </si>
  <si>
    <t>Ms. P Seetha Lakshmi</t>
  </si>
  <si>
    <t>02.06.2025</t>
  </si>
  <si>
    <t>Mr. P Srinivas Rao</t>
  </si>
  <si>
    <t>06.06.2025</t>
  </si>
  <si>
    <t>Mr. PLN Manoj Kumar</t>
  </si>
  <si>
    <t>11.06.2025</t>
  </si>
  <si>
    <t>Mr. Ashok</t>
  </si>
  <si>
    <t>09.06.2025</t>
  </si>
  <si>
    <t>Ms. Ugge Naga Nandini</t>
  </si>
  <si>
    <t xml:space="preserve"> 15-07-2024 </t>
  </si>
  <si>
    <t xml:space="preserve"> 13-08-2024 </t>
  </si>
  <si>
    <t xml:space="preserve"> 13-12-2024 </t>
  </si>
  <si>
    <t xml:space="preserve"> 15-03-2025 </t>
  </si>
  <si>
    <t xml:space="preserve"> 17-03-2025 </t>
  </si>
  <si>
    <t>Dean/Prof/Asso.Prof/Asst. Prof.</t>
  </si>
  <si>
    <t>Dr. Fathimabi Shaik</t>
  </si>
  <si>
    <t>Ms. D. Urlamma</t>
  </si>
  <si>
    <t>Assistant Professor(Contact)</t>
  </si>
  <si>
    <t xml:space="preserve"> Staff List : 2025-26 I Semester </t>
  </si>
  <si>
    <t>Mr. Srinivas Rao Pallanti</t>
  </si>
  <si>
    <t>03090</t>
  </si>
  <si>
    <t>16.06.2025</t>
  </si>
  <si>
    <t>Ms. K.Vyshnavi</t>
  </si>
  <si>
    <t>Teaching Assistants</t>
  </si>
  <si>
    <t>Mr Abhinav</t>
  </si>
  <si>
    <t>Mr Ch.Santosh</t>
  </si>
  <si>
    <t xml:space="preserve">Mr Adithya </t>
  </si>
  <si>
    <t xml:space="preserve">Ms Gayathree Bala </t>
  </si>
  <si>
    <t>Mrs Girija . P</t>
  </si>
  <si>
    <t>Mr. K. Pavan Kumar</t>
  </si>
  <si>
    <t>Mr. Alla Nithin Reddy</t>
  </si>
  <si>
    <t>Ms. Lakshmi Likitha K</t>
  </si>
  <si>
    <t>Ms. Tanuja .K</t>
  </si>
  <si>
    <t>Ms. Kyathi Priya Ch</t>
  </si>
  <si>
    <t>Mr. Nagarjuna D</t>
  </si>
  <si>
    <t>Mr. T. V.V.N.S. Karthik</t>
  </si>
  <si>
    <t>Mr. Manikanta .K</t>
  </si>
  <si>
    <t>D. Karthik Reddy</t>
  </si>
  <si>
    <t>Sure Lakshmi Vyshnavi</t>
  </si>
  <si>
    <t>Ms. Vemuri T N B Aishwarya</t>
  </si>
  <si>
    <t>Ms. P. Jasmitha</t>
  </si>
  <si>
    <t>TI</t>
  </si>
  <si>
    <t>01</t>
  </si>
  <si>
    <t>TA(B.Tech)</t>
  </si>
  <si>
    <t>Assistant Professor(Contract)</t>
  </si>
  <si>
    <t>S.no
Emp Code</t>
  </si>
  <si>
    <t>Name</t>
  </si>
  <si>
    <t>Mr. Jampani L N K Surya Sri Charan</t>
  </si>
  <si>
    <t>Mr.Matlapudi Francis Xavier</t>
  </si>
  <si>
    <t>07.07.2025</t>
  </si>
  <si>
    <t>Mr.Ravi Teja Gudapati</t>
  </si>
  <si>
    <t>08.07.2025</t>
  </si>
  <si>
    <t>Mr.Mahendra Naga Venkat Vangara</t>
  </si>
  <si>
    <t>Ms.Rohitha Kolli</t>
  </si>
  <si>
    <t>09.07.2025</t>
  </si>
  <si>
    <t>Ms.Donepudi Supriya</t>
  </si>
  <si>
    <t>Ms. Kankanampati Nikhitha</t>
  </si>
  <si>
    <t xml:space="preserve"> 10-07-2025 </t>
  </si>
  <si>
    <t>Mr.Rajavarapu Shivateja</t>
  </si>
  <si>
    <t>14.07.2025</t>
  </si>
  <si>
    <t>Mr. Maddula Rama Krishna Koushik</t>
  </si>
  <si>
    <t>Ms. Akkinapalli Sravanthi</t>
  </si>
  <si>
    <t>Ms. Movva Bindu Sai Sree</t>
  </si>
  <si>
    <t>15.07.2025</t>
  </si>
  <si>
    <t>Gude Triveni</t>
  </si>
  <si>
    <t xml:space="preserve">Mr. Gadipudi Abhilash </t>
  </si>
  <si>
    <t>Mr. Kurapati Satya Siva Venkata Naga Neeraj</t>
  </si>
  <si>
    <t>Mr. Pingali Hemanth Sai Vikas</t>
  </si>
  <si>
    <t>Ms. Mavuri Yamini</t>
  </si>
  <si>
    <t>16.07.2025</t>
  </si>
  <si>
    <t>Ms.Nelavalli Sri Sai Mounika</t>
  </si>
  <si>
    <t>Ms.Palukuri Deepika</t>
  </si>
  <si>
    <t>Mr.Pappula Vijay Kumar</t>
  </si>
  <si>
    <t>11.07.2025</t>
  </si>
  <si>
    <t>MS. AFROJA SYED</t>
  </si>
  <si>
    <t>Dr. John Bob Gali</t>
  </si>
  <si>
    <t>Mr. Ashok T.</t>
  </si>
  <si>
    <t>77939 58030</t>
  </si>
  <si>
    <t>Mr. Muni Shiva Prasad</t>
  </si>
  <si>
    <t>92472 46647</t>
  </si>
  <si>
    <t>Dr. Pawan Kumar C</t>
  </si>
  <si>
    <t>6303 122 052</t>
  </si>
  <si>
    <t>Mr. Murthy Sampath Kumar</t>
  </si>
  <si>
    <t>Mr. K.S.S.V.N.Neeraj</t>
  </si>
  <si>
    <t>Mr. G.Abhilash</t>
  </si>
  <si>
    <t>S. Vasu Vamsi Krishna</t>
  </si>
  <si>
    <t>P.Hemanth Sai Vikas</t>
  </si>
  <si>
    <t>M. Rama Krishna Koushik</t>
  </si>
  <si>
    <t>P.Yasaswini</t>
  </si>
  <si>
    <t>A.Sravanthi</t>
  </si>
  <si>
    <t>Hyd Cmpus</t>
  </si>
  <si>
    <t>Associate Dean</t>
  </si>
  <si>
    <t>Ms. Bhavya Sri</t>
  </si>
  <si>
    <t>Department</t>
  </si>
  <si>
    <t>Programs Handled</t>
  </si>
  <si>
    <t>Campus</t>
  </si>
  <si>
    <t>Faculty Cadre</t>
  </si>
  <si>
    <t>Before the semester</t>
  </si>
  <si>
    <t>Faculty required (as per workload)</t>
  </si>
  <si>
    <t>Request made to Registrar</t>
  </si>
  <si>
    <t>Offered till 05.08.2025</t>
  </si>
  <si>
    <t>Joined till 08.05.2025</t>
  </si>
  <si>
    <t>Present status (08.05.2025)</t>
  </si>
  <si>
    <t>Asso. Prof.</t>
  </si>
  <si>
    <t>Assistant Prof.</t>
  </si>
  <si>
    <t>HTRA</t>
  </si>
  <si>
    <t>Please submit your latest time-table and workload along with this form before 12 noon on 05.08.2025.</t>
  </si>
  <si>
    <t>Shortage 
(as of 08.05.2025)</t>
  </si>
  <si>
    <t>Oruganti Mariya Reshma</t>
  </si>
  <si>
    <t>Ravipudi Lakshmi Prasanna</t>
  </si>
  <si>
    <t>K. Jahnavi</t>
  </si>
  <si>
    <t>Sanaka Veera Babu</t>
  </si>
  <si>
    <t xml:space="preserve"> VASAMSETTY SAI SUBHASH</t>
  </si>
  <si>
    <t>B. Jeevana Preethi</t>
  </si>
  <si>
    <t>Kakumanu Hemasri Naga Sita</t>
  </si>
  <si>
    <t>Madala Yeshitha Mani sai Tejaswi</t>
  </si>
  <si>
    <t>Tota Kavya Sree</t>
  </si>
  <si>
    <t>YADLAPALLI KRISHNA BABU</t>
  </si>
  <si>
    <t>Mr. G. Chaitanya Krishna</t>
  </si>
  <si>
    <t>Mr. Leela Siva Sai Perugu</t>
  </si>
  <si>
    <t>outlook</t>
  </si>
  <si>
    <t>Kanisetty Himaja</t>
  </si>
  <si>
    <t>Professor &amp; Additional Dean</t>
  </si>
  <si>
    <t>PATHAN RIYAZ KHAN</t>
  </si>
  <si>
    <t>G. Gayathri</t>
  </si>
  <si>
    <t>Mr. Sampath Kumar M</t>
  </si>
  <si>
    <t>Mr. Sakala Vasu Vamsi rishna</t>
  </si>
  <si>
    <t>VASAMSETTY SAI SUBHASH</t>
  </si>
  <si>
    <t>MR. K Shanmukha Sai Kumar Reddy</t>
  </si>
  <si>
    <t>K.Anitha</t>
  </si>
  <si>
    <t>Sr. Assistant</t>
  </si>
  <si>
    <t>81432 23433</t>
  </si>
  <si>
    <t>Emp.</t>
  </si>
  <si>
    <t>Mobile No</t>
  </si>
  <si>
    <t>Date of Relieving</t>
  </si>
  <si>
    <t>Dr. U. Sri Lakshmi</t>
  </si>
  <si>
    <t>Dr. A. Avinash Reddy</t>
  </si>
  <si>
    <t>Mandapati Pranati Aryan</t>
  </si>
  <si>
    <t>10.06.23</t>
  </si>
  <si>
    <t>P. Swetha V Padmavathi</t>
  </si>
  <si>
    <t>30.06.23</t>
  </si>
  <si>
    <t>Ms. Minakshmi Shaw</t>
  </si>
  <si>
    <t>Dr.Preeti Kharwar</t>
  </si>
  <si>
    <t>Mr. Partha Protim Borah</t>
  </si>
  <si>
    <t>Mr. Sudem S Daimari</t>
  </si>
  <si>
    <t>25.08.2025</t>
  </si>
  <si>
    <t>Mr. D. Pavan Kalyan</t>
  </si>
  <si>
    <t>Ms.Yenugula Ramya Sri</t>
  </si>
  <si>
    <t>Ms.Jasthi Nandini</t>
  </si>
  <si>
    <t>Ms.Nune Naga Surekha</t>
  </si>
  <si>
    <t>Mr. K. Sai Kamal</t>
  </si>
  <si>
    <t>Experience</t>
  </si>
  <si>
    <t>Ms. A. Sushma Chowdary</t>
  </si>
  <si>
    <t>Mr. Ch. Pawan</t>
  </si>
  <si>
    <t>94914 94134</t>
  </si>
  <si>
    <t>Mr. PULIVARTHI SUNNY</t>
  </si>
  <si>
    <t>Dr. P. Gayathri</t>
  </si>
  <si>
    <t>S.no</t>
  </si>
  <si>
    <t>Assistant Professor (Contract)</t>
  </si>
  <si>
    <t>Teaching Assistants - 2025-26 I Semester</t>
  </si>
  <si>
    <t>Professor 
&amp; Additional Dean</t>
  </si>
  <si>
    <t>Tech.</t>
  </si>
  <si>
    <t>non-Tech</t>
  </si>
  <si>
    <t>Total:</t>
  </si>
  <si>
    <t>15.11.25</t>
  </si>
  <si>
    <t xml:space="preserve"> Staff List : 2025-26 II Semester </t>
  </si>
  <si>
    <t>Teaching Assistants - 2025-26 II Semester</t>
  </si>
  <si>
    <t>MS. ATTULURI RAMYA</t>
  </si>
  <si>
    <t>10.09.25</t>
  </si>
  <si>
    <t>MS. Atluri Ramya</t>
  </si>
  <si>
    <t>Mr. Kasireddy Manikanta</t>
  </si>
  <si>
    <t>Teaching</t>
  </si>
  <si>
    <t>Lab Tech.</t>
  </si>
  <si>
    <t>Non-Tech.</t>
  </si>
  <si>
    <t>Total Count</t>
  </si>
  <si>
    <t>Ms. Vemuri Lakshmi Ravali</t>
  </si>
  <si>
    <t>New</t>
  </si>
  <si>
    <t>1.12.25</t>
  </si>
  <si>
    <t>Asst.Prof.</t>
  </si>
  <si>
    <t>Mr. K Shanmukha Sai Kumar Reddy</t>
  </si>
  <si>
    <t>15.12.25</t>
  </si>
  <si>
    <t>Teaching Associate</t>
  </si>
  <si>
    <t>Asst. Prof. (Contract)</t>
  </si>
  <si>
    <t>Asst. Prof. on Contact</t>
  </si>
  <si>
    <t>PH.d., M.Phil., MCA., B.sc.</t>
  </si>
  <si>
    <t>Ph.D., M.Tech., B.Tech.</t>
  </si>
  <si>
    <t>Ph.D -2022 (Information &amp; Communication)</t>
  </si>
  <si>
    <t>Ph.D., M.Tech., M.C.A., B.Tech., B.Sc.,</t>
  </si>
  <si>
    <t>Ph.D, M.Tech , B.Tech.</t>
  </si>
  <si>
    <t xml:space="preserve">PH.D., M.TECH., B.TECH., </t>
  </si>
  <si>
    <t>Ph.D, M.Tech, B.Tech</t>
  </si>
  <si>
    <t>M.Sc, MCA</t>
  </si>
  <si>
    <t>Ph.D., M.Tech., AIME</t>
  </si>
  <si>
    <t>B.E, M.Tech, Ph.D</t>
  </si>
  <si>
    <t>Adaptive Signal Processing, Machine Learning and Deep Learning</t>
  </si>
  <si>
    <t>Machine Learning</t>
  </si>
  <si>
    <t>Ph.D, M.Tech, B.E</t>
  </si>
  <si>
    <t>M.Tech.,Ph.D</t>
  </si>
  <si>
    <t>wireless sensor networks, Agent Technology, Artificial intelligence</t>
  </si>
  <si>
    <t>M.Tech., B.Tech.</t>
  </si>
  <si>
    <t>deep learning, VLSI, Embedded systems</t>
  </si>
  <si>
    <t>M.SC.(I.T.)</t>
  </si>
  <si>
    <t>M.Tech - JNTU Kakinada</t>
  </si>
  <si>
    <t>Data Science</t>
  </si>
  <si>
    <t>M.TECH.</t>
  </si>
  <si>
    <t>M.Tech., B.Tech</t>
  </si>
  <si>
    <t>M.Tech., MCA., M.Phil., M.Sc., B.Sc.</t>
  </si>
  <si>
    <t>CSE</t>
  </si>
  <si>
    <t>M.Tech., MCA., B.Sc.</t>
  </si>
  <si>
    <t>Ph.D.,(M.TECH)</t>
  </si>
  <si>
    <t>Machine Learning,natural language processing</t>
  </si>
  <si>
    <t>CST</t>
  </si>
  <si>
    <t>M.S., B.Tech.</t>
  </si>
  <si>
    <t>Ph.D,M.E,B.E</t>
  </si>
  <si>
    <t>NETWORKING &amp; CLOUD SECURITY</t>
  </si>
  <si>
    <t xml:space="preserve">PHD., M.tech, B.tech </t>
  </si>
  <si>
    <t>vlsi design</t>
  </si>
  <si>
    <t>machiNe learning and pattern recognition</t>
  </si>
  <si>
    <t>Ph,D - Bharathidasan University</t>
  </si>
  <si>
    <t>mathematical modeling</t>
  </si>
  <si>
    <t>Ph.D., m.tech., b.tech.</t>
  </si>
  <si>
    <t>IoT, ai</t>
  </si>
  <si>
    <t>PH.D., M.TECH</t>
  </si>
  <si>
    <t>Antennas, RF , Wireless Comunication</t>
  </si>
  <si>
    <t>distributed Systems, Performance evaluation of Computer networks, Wireless networks,  Data Science</t>
  </si>
  <si>
    <t>Machine Learning, Embedded Systems and IoT, VLSI</t>
  </si>
  <si>
    <t>Cloud Computing</t>
  </si>
  <si>
    <t xml:space="preserve">Power electronics/Computer science Engineering </t>
  </si>
  <si>
    <t>DIGITAL IMAGE PROCESSING, MACHINE LEARNING</t>
  </si>
  <si>
    <t>M.TECH., B.TECH.</t>
  </si>
  <si>
    <t xml:space="preserve">Artifical intelligence </t>
  </si>
  <si>
    <t>STATISTICS</t>
  </si>
  <si>
    <t>Qualifiction</t>
  </si>
  <si>
    <t>Area</t>
  </si>
  <si>
    <t>17.12.25</t>
  </si>
  <si>
    <t>20.12.25</t>
  </si>
  <si>
    <t>27.12.25</t>
  </si>
  <si>
    <t>VFSTR :: Vadlamudi</t>
  </si>
  <si>
    <t>Thumb Analysis Report on From 29-12-2025 To 29-12-2025</t>
  </si>
  <si>
    <t>EMPCODE</t>
  </si>
  <si>
    <t>NAME</t>
  </si>
  <si>
    <t>Date</t>
  </si>
  <si>
    <t>In-Time</t>
  </si>
  <si>
    <t>teaching</t>
  </si>
  <si>
    <t>Sajja Radha Rani</t>
  </si>
  <si>
    <t>DR. Deevi Radha Rani</t>
  </si>
  <si>
    <t>Mr. Amar Jukuntla</t>
  </si>
  <si>
    <t>Dr. Dondeti. Venkatesulu</t>
  </si>
  <si>
    <t>DR. SIVADI BALAKRISHNA</t>
  </si>
  <si>
    <t>MR. KAMINENI SAMBASIVA RAO</t>
  </si>
  <si>
    <t>DR. ARNAB DE</t>
  </si>
  <si>
    <t>DR. Chennapragada Amarendra</t>
  </si>
  <si>
    <t>Dr. Shaik Mastan Sharif</t>
  </si>
  <si>
    <t>Dr.C.Sateesh Kumar Reddy</t>
  </si>
  <si>
    <t>Dr. S Sreekantha Reddy</t>
  </si>
  <si>
    <t>mr. g. siva manikanta</t>
  </si>
  <si>
    <t>nonteaching</t>
  </si>
  <si>
    <t>Ms. Nemalikanti Mounika</t>
  </si>
  <si>
    <t>Ms. inturu leela priya</t>
  </si>
  <si>
    <t>MS. PINAPATI RACHANA</t>
  </si>
  <si>
    <t>MS. TALAKALA DEEPTHI</t>
  </si>
  <si>
    <t>MS. MANNE RAJESWARI</t>
  </si>
  <si>
    <t>ms. syed reshma</t>
  </si>
  <si>
    <t>MR. JAMPANI KARTHIK</t>
  </si>
  <si>
    <t>MR. DEPURI VENUGOPAL</t>
  </si>
  <si>
    <t>ms.nelavalli sri sai mounika</t>
  </si>
  <si>
    <t>PALUKURI DEEPIKA</t>
  </si>
  <si>
    <t>Mrs. Savanam Krishna Veni</t>
  </si>
  <si>
    <t>Ms. PALAPARTHI SEETHALAKSHMI</t>
  </si>
  <si>
    <t>DR. M. Nirupama Bhat</t>
  </si>
  <si>
    <t>dr. AVVARU SUBRAMANYAM</t>
  </si>
  <si>
    <t>Mr. SRINIVASARAO PALLANTI</t>
  </si>
  <si>
    <t>Dr. Shaik Fathimabi</t>
  </si>
  <si>
    <t>Mr. Katika Veera Venkata Abhinav</t>
  </si>
  <si>
    <t>Mr. Koduru Jagrutha Aditya</t>
  </si>
  <si>
    <t>Ms. Peethala Girija</t>
  </si>
  <si>
    <t>Ms. Kota Lakshmi Likhitha</t>
  </si>
  <si>
    <t>Mr. Dasari Nagarjuna</t>
  </si>
  <si>
    <t>Mr. Duggempudi Karthik Reddy</t>
  </si>
  <si>
    <t>Mr. Matlapudi Francis Xavier</t>
  </si>
  <si>
    <t>Ms. Kolli Rohitha</t>
  </si>
  <si>
    <t>MS. DONEPUDI SUPRIYA</t>
  </si>
  <si>
    <t>ms. gude triveni</t>
  </si>
  <si>
    <t>Ms. MAVURI YAMINI</t>
  </si>
  <si>
    <t>Mr. Sanaka Veera Babu</t>
  </si>
  <si>
    <t>MR. YADLAPALLI KRISHNA BABU</t>
  </si>
  <si>
    <t>MS. NUNE NAGA SUREKHA</t>
  </si>
  <si>
    <t>MS. RAMYA SRI YENUGULA</t>
  </si>
  <si>
    <t>MR. DEVARAKONDA PAVAN KALYAN</t>
  </si>
  <si>
    <t>Dr B. Jyostna Devi</t>
  </si>
  <si>
    <t>Mr. PAPPULA VIJAY KUMAR</t>
  </si>
  <si>
    <t>Ms. Koduru Vyshnavi</t>
  </si>
  <si>
    <t>MS. KOPURI ANITHA</t>
  </si>
  <si>
    <t>DR. P GAYATHRI</t>
  </si>
  <si>
    <t>Dr.DS. Bhupal Naik</t>
  </si>
  <si>
    <t>Murali Krishna Nangedda</t>
  </si>
  <si>
    <t>Thumb Analysis Report on From 21-12-2025 To 21-12-2025</t>
  </si>
  <si>
    <t>Out-Time</t>
  </si>
  <si>
    <t>Working</t>
  </si>
  <si>
    <t>Hours</t>
  </si>
  <si>
    <t>Dr. G. KalaiArasi</t>
  </si>
  <si>
    <t>MRS. M. DURGA BHAVANI</t>
  </si>
  <si>
    <t>Ms. Yajali Neha</t>
  </si>
  <si>
    <t>Mr K.Veera Venkata Abhinav</t>
  </si>
  <si>
    <t>23.01.2026: Guest Lecture on "EDGE AI"
by Mr V Ramanamurthy Saripalli,  Chief Technology Officer, 
Onyx Components and Systems, Hyderabad, Telangana</t>
  </si>
  <si>
    <t>MS. Attuluri Ramya</t>
  </si>
  <si>
    <t>Mr. Vivek Vardhan</t>
  </si>
  <si>
    <t xml:space="preserve">Mr. Kosana Rajasekhar </t>
  </si>
  <si>
    <t>Dr.</t>
  </si>
  <si>
    <t>Mail ID</t>
  </si>
  <si>
    <t>bjd_acse@vignan.ac.in</t>
  </si>
  <si>
    <t>drjad_acse@vignan.ac.in</t>
  </si>
  <si>
    <t>drsbk_acse@vignan.ac.in</t>
  </si>
  <si>
    <t>drpg_acse@vignan.ac.in</t>
  </si>
  <si>
    <t>73868 93132</t>
  </si>
  <si>
    <t>81437 11665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</si>
</sst>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sz val="11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000000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&quot;Times New Roman&quot;"/>
      <charset val="134"/>
    </font>
    <font>
      <sz val="16"/>
      <color rgb="FF000000"/>
      <name val="&quot;Times New Roman&quot;"/>
      <charset val="13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sz val="12"/>
      <color theme="1"/>
      <name val="Trebuchet MS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C82613"/>
      <name val="Calibri"/>
      <family val="2"/>
      <scheme val="minor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0"/>
      <color theme="1"/>
      <name val="Trebuchet MS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4" fillId="0" borderId="0"/>
    <xf numFmtId="0" fontId="52" fillId="0" borderId="0" applyNumberFormat="0" applyFill="0" applyBorder="0" applyAlignment="0" applyProtection="0"/>
  </cellStyleXfs>
  <cellXfs count="589">
    <xf numFmtId="0" fontId="0" fillId="0" borderId="0" xfId="0"/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14" fontId="15" fillId="0" borderId="1" xfId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/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4" fillId="4" borderId="1" xfId="0" applyFont="1" applyFill="1" applyBorder="1"/>
    <xf numFmtId="0" fontId="16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14" fontId="17" fillId="5" borderId="1" xfId="0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14" fontId="14" fillId="7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1" xfId="0" applyFont="1" applyFill="1" applyBorder="1"/>
    <xf numFmtId="14" fontId="0" fillId="7" borderId="1" xfId="0" applyNumberForma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19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1" xfId="0" applyFont="1" applyBorder="1"/>
    <xf numFmtId="14" fontId="0" fillId="0" borderId="1" xfId="0" applyNumberFormat="1" applyBorder="1"/>
    <xf numFmtId="49" fontId="1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3" borderId="1" xfId="0" applyFont="1" applyFill="1" applyBorder="1" applyAlignment="1">
      <alignment vertical="center" wrapText="1"/>
    </xf>
    <xf numFmtId="0" fontId="22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8" fillId="2" borderId="0" xfId="0" applyFont="1" applyFill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14" fontId="25" fillId="0" borderId="1" xfId="1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6" fillId="2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14" fontId="17" fillId="0" borderId="0" xfId="0" applyNumberFormat="1" applyFont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/>
    </xf>
    <xf numFmtId="0" fontId="12" fillId="0" borderId="9" xfId="0" applyFont="1" applyBorder="1"/>
    <xf numFmtId="0" fontId="12" fillId="0" borderId="1" xfId="0" applyFont="1" applyBorder="1" applyAlignment="1">
      <alignment horizontal="center"/>
    </xf>
    <xf numFmtId="49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2" fillId="0" borderId="3" xfId="0" applyFont="1" applyBorder="1"/>
    <xf numFmtId="0" fontId="12" fillId="0" borderId="12" xfId="0" applyFont="1" applyBorder="1" applyAlignment="1">
      <alignment horizontal="center"/>
    </xf>
    <xf numFmtId="0" fontId="23" fillId="0" borderId="1" xfId="0" applyFont="1" applyBorder="1"/>
    <xf numFmtId="0" fontId="0" fillId="0" borderId="1" xfId="0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24" fillId="0" borderId="1" xfId="0" applyFont="1" applyBorder="1"/>
    <xf numFmtId="0" fontId="30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7" fillId="0" borderId="0" xfId="0" applyFont="1"/>
    <xf numFmtId="0" fontId="2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4" fontId="21" fillId="0" borderId="1" xfId="0" applyNumberFormat="1" applyFont="1" applyBorder="1" applyAlignment="1">
      <alignment horizontal="center" vertical="center"/>
    </xf>
    <xf numFmtId="0" fontId="21" fillId="0" borderId="0" xfId="0" applyFont="1"/>
    <xf numFmtId="0" fontId="26" fillId="0" borderId="1" xfId="0" applyFont="1" applyBorder="1" applyAlignment="1">
      <alignment vertic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20" fillId="0" borderId="13" xfId="0" applyFont="1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8" fillId="0" borderId="1" xfId="1" applyFont="1" applyBorder="1" applyAlignment="1">
      <alignment horizontal="left" vertical="center" wrapText="1"/>
    </xf>
    <xf numFmtId="0" fontId="25" fillId="0" borderId="1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9" fillId="9" borderId="1" xfId="0" applyFont="1" applyFill="1" applyBorder="1" applyAlignment="1">
      <alignment horizontal="left"/>
    </xf>
    <xf numFmtId="49" fontId="25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27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left" vertical="center"/>
    </xf>
    <xf numFmtId="0" fontId="27" fillId="0" borderId="0" xfId="0" applyFont="1" applyAlignment="1">
      <alignment horizontal="left"/>
    </xf>
    <xf numFmtId="0" fontId="25" fillId="0" borderId="10" xfId="0" applyFont="1" applyBorder="1" applyAlignment="1">
      <alignment horizontal="center" vertical="center" wrapText="1"/>
    </xf>
    <xf numFmtId="0" fontId="21" fillId="3" borderId="10" xfId="0" applyFont="1" applyFill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40" fillId="0" borderId="14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 wrapText="1"/>
    </xf>
    <xf numFmtId="2" fontId="25" fillId="0" borderId="1" xfId="1" applyNumberFormat="1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5" fillId="0" borderId="1" xfId="1" quotePrefix="1" applyFont="1" applyBorder="1" applyAlignment="1">
      <alignment horizontal="center" vertical="center" wrapText="1"/>
    </xf>
    <xf numFmtId="0" fontId="14" fillId="10" borderId="1" xfId="0" applyFont="1" applyFill="1" applyBorder="1"/>
    <xf numFmtId="0" fontId="14" fillId="11" borderId="1" xfId="0" applyFont="1" applyFill="1" applyBorder="1"/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4" fillId="0" borderId="1" xfId="0" quotePrefix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/>
    <xf numFmtId="0" fontId="14" fillId="0" borderId="9" xfId="0" applyFont="1" applyBorder="1" applyAlignment="1">
      <alignment horizontal="center"/>
    </xf>
    <xf numFmtId="14" fontId="14" fillId="0" borderId="13" xfId="0" applyNumberFormat="1" applyFont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vertical="center"/>
    </xf>
    <xf numFmtId="14" fontId="17" fillId="12" borderId="1" xfId="0" applyNumberFormat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14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1" xfId="0" applyFont="1" applyFill="1" applyBorder="1"/>
    <xf numFmtId="14" fontId="0" fillId="13" borderId="1" xfId="0" applyNumberForma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52" fillId="0" borderId="1" xfId="2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0" fillId="14" borderId="1" xfId="0" applyFont="1" applyFill="1" applyBorder="1" applyAlignment="1">
      <alignment horizontal="center" vertical="center" wrapText="1"/>
    </xf>
    <xf numFmtId="0" fontId="50" fillId="14" borderId="1" xfId="0" applyFont="1" applyFill="1" applyBorder="1" applyAlignment="1">
      <alignment vertical="center" wrapText="1"/>
    </xf>
    <xf numFmtId="14" fontId="50" fillId="14" borderId="1" xfId="0" applyNumberFormat="1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vertical="center" wrapText="1"/>
    </xf>
    <xf numFmtId="0" fontId="50" fillId="15" borderId="1" xfId="0" applyFont="1" applyFill="1" applyBorder="1" applyAlignment="1">
      <alignment horizontal="center" vertical="center" wrapText="1"/>
    </xf>
    <xf numFmtId="0" fontId="50" fillId="15" borderId="1" xfId="0" applyFont="1" applyFill="1" applyBorder="1" applyAlignment="1">
      <alignment vertical="center" wrapText="1"/>
    </xf>
    <xf numFmtId="14" fontId="50" fillId="15" borderId="1" xfId="0" applyNumberFormat="1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54" fillId="0" borderId="1" xfId="0" applyFont="1" applyBorder="1" applyAlignment="1">
      <alignment horizontal="center" vertical="center" readingOrder="1"/>
    </xf>
    <xf numFmtId="0" fontId="54" fillId="0" borderId="1" xfId="0" applyFont="1" applyBorder="1" applyAlignment="1">
      <alignment horizontal="center" vertical="center" wrapText="1" readingOrder="1"/>
    </xf>
    <xf numFmtId="0" fontId="53" fillId="0" borderId="1" xfId="0" applyFont="1" applyBorder="1" applyAlignment="1">
      <alignment horizontal="center" vertical="center" readingOrder="1"/>
    </xf>
    <xf numFmtId="0" fontId="53" fillId="0" borderId="1" xfId="0" applyFont="1" applyBorder="1" applyAlignment="1">
      <alignment vertical="center" readingOrder="1"/>
    </xf>
    <xf numFmtId="0" fontId="54" fillId="0" borderId="2" xfId="0" applyFont="1" applyBorder="1" applyAlignment="1">
      <alignment vertical="center" readingOrder="1"/>
    </xf>
    <xf numFmtId="0" fontId="54" fillId="0" borderId="13" xfId="0" applyFont="1" applyBorder="1" applyAlignment="1">
      <alignment vertical="center" readingOrder="1"/>
    </xf>
    <xf numFmtId="0" fontId="10" fillId="0" borderId="1" xfId="0" applyFont="1" applyBorder="1"/>
    <xf numFmtId="0" fontId="53" fillId="0" borderId="1" xfId="0" applyFont="1" applyBorder="1"/>
    <xf numFmtId="14" fontId="10" fillId="0" borderId="0" xfId="0" applyNumberFormat="1" applyFont="1" applyAlignment="1">
      <alignment horizontal="center"/>
    </xf>
    <xf numFmtId="0" fontId="55" fillId="0" borderId="2" xfId="0" applyFont="1" applyBorder="1" applyAlignment="1">
      <alignment vertical="center" wrapText="1" readingOrder="1"/>
    </xf>
    <xf numFmtId="0" fontId="55" fillId="0" borderId="9" xfId="0" applyFont="1" applyBorder="1" applyAlignment="1">
      <alignment vertical="center" wrapText="1" readingOrder="1"/>
    </xf>
    <xf numFmtId="0" fontId="55" fillId="0" borderId="13" xfId="0" applyFont="1" applyBorder="1" applyAlignment="1">
      <alignment vertical="center" wrapText="1" readingOrder="1"/>
    </xf>
    <xf numFmtId="14" fontId="22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14" fontId="22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0" fillId="0" borderId="13" xfId="0" applyBorder="1"/>
    <xf numFmtId="0" fontId="14" fillId="4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29" fillId="0" borderId="0" xfId="0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22" fillId="3" borderId="1" xfId="0" applyFont="1" applyFill="1" applyBorder="1"/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/>
    </xf>
    <xf numFmtId="14" fontId="22" fillId="3" borderId="1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14" fontId="32" fillId="0" borderId="1" xfId="0" applyNumberFormat="1" applyFont="1" applyBorder="1" applyAlignment="1">
      <alignment horizontal="center" vertical="center"/>
    </xf>
    <xf numFmtId="14" fontId="33" fillId="3" borderId="1" xfId="0" applyNumberFormat="1" applyFont="1" applyFill="1" applyBorder="1" applyAlignment="1">
      <alignment horizontal="center"/>
    </xf>
    <xf numFmtId="14" fontId="23" fillId="3" borderId="1" xfId="0" applyNumberFormat="1" applyFont="1" applyFill="1" applyBorder="1" applyAlignment="1">
      <alignment horizontal="center" vertical="center"/>
    </xf>
    <xf numFmtId="14" fontId="32" fillId="3" borderId="1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4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14" fontId="56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0" fontId="56" fillId="2" borderId="1" xfId="0" applyFont="1" applyFill="1" applyBorder="1" applyAlignment="1">
      <alignment horizontal="center" vertical="center" wrapText="1"/>
    </xf>
    <xf numFmtId="14" fontId="56" fillId="2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3" fillId="4" borderId="1" xfId="0" applyFont="1" applyFill="1" applyBorder="1" applyAlignment="1">
      <alignment vertical="center"/>
    </xf>
    <xf numFmtId="0" fontId="33" fillId="3" borderId="1" xfId="0" applyFont="1" applyFill="1" applyBorder="1" applyAlignment="1">
      <alignment vertical="center"/>
    </xf>
    <xf numFmtId="0" fontId="57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3" borderId="0" xfId="0" applyFont="1" applyFill="1"/>
    <xf numFmtId="0" fontId="17" fillId="3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vertical="center"/>
    </xf>
    <xf numFmtId="14" fontId="0" fillId="12" borderId="0" xfId="0" applyNumberFormat="1" applyFill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53" fillId="0" borderId="1" xfId="0" applyFont="1" applyBorder="1" applyAlignment="1">
      <alignment horizontal="left"/>
    </xf>
    <xf numFmtId="0" fontId="14" fillId="3" borderId="0" xfId="0" applyFont="1" applyFill="1" applyAlignment="1">
      <alignment horizontal="center" vertical="center"/>
    </xf>
    <xf numFmtId="0" fontId="53" fillId="0" borderId="0" xfId="0" applyFont="1" applyAlignment="1">
      <alignment horizontal="left"/>
    </xf>
    <xf numFmtId="0" fontId="53" fillId="0" borderId="1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8" fillId="0" borderId="0" xfId="0" applyFont="1"/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0" fillId="0" borderId="11" xfId="0" applyBorder="1"/>
    <xf numFmtId="0" fontId="46" fillId="0" borderId="1" xfId="0" applyFont="1" applyBorder="1" applyAlignment="1">
      <alignment horizontal="center"/>
    </xf>
    <xf numFmtId="14" fontId="14" fillId="13" borderId="13" xfId="0" applyNumberFormat="1" applyFont="1" applyFill="1" applyBorder="1" applyAlignment="1">
      <alignment horizontal="center"/>
    </xf>
    <xf numFmtId="0" fontId="57" fillId="3" borderId="1" xfId="0" applyFont="1" applyFill="1" applyBorder="1" applyAlignment="1">
      <alignment horizontal="center" vertical="center"/>
    </xf>
    <xf numFmtId="0" fontId="57" fillId="0" borderId="1" xfId="0" applyFont="1" applyBorder="1"/>
    <xf numFmtId="14" fontId="33" fillId="0" borderId="1" xfId="0" applyNumberFormat="1" applyFont="1" applyBorder="1"/>
    <xf numFmtId="0" fontId="5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left" wrapText="1"/>
    </xf>
    <xf numFmtId="0" fontId="5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33" fillId="0" borderId="1" xfId="0" applyFont="1" applyBorder="1"/>
    <xf numFmtId="14" fontId="3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0" fillId="3" borderId="0" xfId="0" applyFill="1"/>
    <xf numFmtId="14" fontId="14" fillId="0" borderId="1" xfId="1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center"/>
    </xf>
    <xf numFmtId="14" fontId="14" fillId="3" borderId="1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/>
    </xf>
    <xf numFmtId="14" fontId="14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left" vertical="center" wrapText="1"/>
    </xf>
    <xf numFmtId="14" fontId="18" fillId="3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/>
    </xf>
    <xf numFmtId="0" fontId="11" fillId="0" borderId="0" xfId="0" applyFont="1"/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4" fillId="0" borderId="13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20" fillId="0" borderId="13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center"/>
    </xf>
    <xf numFmtId="0" fontId="4" fillId="0" borderId="0" xfId="0" applyFont="1"/>
    <xf numFmtId="14" fontId="17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14" fontId="0" fillId="3" borderId="0" xfId="0" applyNumberFormat="1" applyFill="1" applyAlignment="1">
      <alignment horizontal="center" vertical="center"/>
    </xf>
    <xf numFmtId="0" fontId="5" fillId="3" borderId="0" xfId="0" applyFont="1" applyFill="1"/>
    <xf numFmtId="0" fontId="8" fillId="4" borderId="1" xfId="0" applyFont="1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3" fillId="0" borderId="0" xfId="0" applyFont="1"/>
    <xf numFmtId="0" fontId="29" fillId="0" borderId="13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14" fontId="18" fillId="0" borderId="1" xfId="1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/>
    </xf>
    <xf numFmtId="0" fontId="18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/>
    <xf numFmtId="0" fontId="18" fillId="0" borderId="1" xfId="0" quotePrefix="1" applyFont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7" fillId="3" borderId="0" xfId="0" applyFont="1" applyFill="1"/>
    <xf numFmtId="0" fontId="17" fillId="0" borderId="0" xfId="0" applyFont="1" applyAlignment="1">
      <alignment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29" fillId="0" borderId="1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center"/>
    </xf>
    <xf numFmtId="0" fontId="18" fillId="0" borderId="13" xfId="0" applyFont="1" applyBorder="1" applyAlignment="1">
      <alignment vertical="center" wrapText="1"/>
    </xf>
    <xf numFmtId="14" fontId="17" fillId="0" borderId="0" xfId="0" applyNumberFormat="1" applyFont="1" applyAlignment="1">
      <alignment horizontal="left" vertical="center" wrapText="1"/>
    </xf>
    <xf numFmtId="0" fontId="17" fillId="0" borderId="13" xfId="0" applyFont="1" applyBorder="1"/>
    <xf numFmtId="0" fontId="18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2" fillId="0" borderId="0" xfId="0" applyFont="1"/>
    <xf numFmtId="0" fontId="17" fillId="0" borderId="0" xfId="0" applyFont="1" applyAlignment="1">
      <alignment wrapText="1"/>
    </xf>
    <xf numFmtId="0" fontId="17" fillId="3" borderId="0" xfId="0" applyFont="1" applyFill="1" applyAlignment="1">
      <alignment wrapText="1"/>
    </xf>
    <xf numFmtId="0" fontId="31" fillId="0" borderId="1" xfId="1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36" fillId="0" borderId="9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3" borderId="1" xfId="0" applyFont="1" applyFill="1" applyBorder="1" applyAlignment="1">
      <alignment wrapText="1"/>
    </xf>
    <xf numFmtId="0" fontId="17" fillId="3" borderId="1" xfId="0" applyFont="1" applyFill="1" applyBorder="1"/>
    <xf numFmtId="14" fontId="23" fillId="0" borderId="1" xfId="0" applyNumberFormat="1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14" fontId="23" fillId="0" borderId="1" xfId="0" applyNumberFormat="1" applyFont="1" applyBorder="1" applyAlignment="1">
      <alignment horizontal="center"/>
    </xf>
    <xf numFmtId="0" fontId="36" fillId="0" borderId="1" xfId="0" applyFont="1" applyBorder="1"/>
    <xf numFmtId="0" fontId="36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7" fillId="0" borderId="0" xfId="0" applyFont="1" applyAlignment="1">
      <alignment horizontal="left"/>
    </xf>
    <xf numFmtId="0" fontId="17" fillId="3" borderId="0" xfId="0" applyFont="1" applyFill="1" applyAlignment="1">
      <alignment horizontal="left"/>
    </xf>
    <xf numFmtId="1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3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63" fillId="0" borderId="19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14" fontId="0" fillId="0" borderId="14" xfId="0" applyNumberFormat="1" applyBorder="1" applyAlignment="1">
      <alignment horizontal="center" vertical="center" wrapText="1"/>
    </xf>
    <xf numFmtId="21" fontId="0" fillId="0" borderId="14" xfId="0" applyNumberForma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4" fontId="17" fillId="3" borderId="0" xfId="0" applyNumberFormat="1" applyFont="1" applyFill="1"/>
    <xf numFmtId="14" fontId="17" fillId="0" borderId="0" xfId="0" applyNumberFormat="1" applyFont="1"/>
    <xf numFmtId="0" fontId="36" fillId="0" borderId="1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14" fontId="17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/>
    <xf numFmtId="0" fontId="12" fillId="0" borderId="0" xfId="0" applyFont="1" applyAlignment="1">
      <alignment horizontal="center" vertical="center" wrapText="1"/>
    </xf>
    <xf numFmtId="0" fontId="29" fillId="0" borderId="12" xfId="0" applyFont="1" applyBorder="1" applyAlignment="1">
      <alignment horizontal="center"/>
    </xf>
    <xf numFmtId="14" fontId="17" fillId="0" borderId="10" xfId="0" applyNumberFormat="1" applyFont="1" applyBorder="1" applyAlignment="1">
      <alignment horizontal="center"/>
    </xf>
    <xf numFmtId="0" fontId="17" fillId="3" borderId="10" xfId="0" applyFont="1" applyFill="1" applyBorder="1"/>
    <xf numFmtId="14" fontId="17" fillId="0" borderId="11" xfId="0" applyNumberFormat="1" applyFont="1" applyBorder="1" applyAlignment="1">
      <alignment horizontal="center"/>
    </xf>
    <xf numFmtId="0" fontId="18" fillId="3" borderId="0" xfId="0" applyFont="1" applyFill="1"/>
    <xf numFmtId="0" fontId="18" fillId="3" borderId="0" xfId="0" applyFont="1" applyFill="1" applyAlignment="1">
      <alignment horizontal="center" vertical="center" wrapText="1"/>
    </xf>
    <xf numFmtId="0" fontId="57" fillId="0" borderId="13" xfId="0" applyFont="1" applyBorder="1"/>
    <xf numFmtId="0" fontId="52" fillId="0" borderId="1" xfId="2" applyBorder="1"/>
    <xf numFmtId="0" fontId="12" fillId="0" borderId="0" xfId="0" applyFont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5" fillId="0" borderId="3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8" fillId="0" borderId="15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7" fillId="4" borderId="18" xfId="0" applyFont="1" applyFill="1" applyBorder="1" applyAlignment="1">
      <alignment horizontal="center"/>
    </xf>
    <xf numFmtId="0" fontId="46" fillId="0" borderId="2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46" fillId="3" borderId="1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19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sl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mailto:drpg_acse@vignan.ac.in" TargetMode="External"/><Relationship Id="rId1" Type="http://schemas.openxmlformats.org/officeDocument/2006/relationships/hyperlink" Target="mailto:bjd_acse@vignan.ac.in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workbookViewId="0">
      <selection activeCell="C25" sqref="C25"/>
    </sheetView>
  </sheetViews>
  <sheetFormatPr defaultColWidth="9" defaultRowHeight="14.4"/>
  <cols>
    <col min="3" max="3" width="32.44140625" customWidth="1"/>
    <col min="4" max="4" width="30.88671875" customWidth="1"/>
    <col min="5" max="5" width="24" hidden="1" customWidth="1"/>
    <col min="6" max="6" width="13.33203125" hidden="1" customWidth="1"/>
    <col min="7" max="12" width="9" hidden="1" customWidth="1"/>
    <col min="13" max="13" width="14.33203125" customWidth="1"/>
    <col min="17" max="17" width="15.33203125" customWidth="1"/>
  </cols>
  <sheetData>
    <row r="1" spans="1:17" ht="20.100000000000001" customHeight="1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</row>
    <row r="2" spans="1:17" ht="20.100000000000001" customHeight="1">
      <c r="A2" s="66" t="s">
        <v>1</v>
      </c>
      <c r="B2" s="66" t="s">
        <v>2</v>
      </c>
      <c r="C2" s="181" t="s">
        <v>3</v>
      </c>
      <c r="D2" s="66" t="s">
        <v>4</v>
      </c>
      <c r="E2" s="184" t="s">
        <v>5</v>
      </c>
      <c r="F2" s="66"/>
      <c r="G2" s="181"/>
      <c r="H2" s="66"/>
      <c r="I2" s="66"/>
      <c r="J2" s="66"/>
      <c r="K2" s="216" t="s">
        <v>6</v>
      </c>
      <c r="M2" s="217" t="s">
        <v>7</v>
      </c>
      <c r="N2" s="1"/>
      <c r="O2" s="1"/>
      <c r="P2" s="1"/>
      <c r="Q2" s="66" t="s">
        <v>8</v>
      </c>
    </row>
    <row r="3" spans="1:17" ht="20.100000000000001" customHeight="1">
      <c r="A3" s="185">
        <v>1</v>
      </c>
      <c r="B3" s="76">
        <v>1251</v>
      </c>
      <c r="C3" s="186" t="s">
        <v>9</v>
      </c>
      <c r="D3" s="187" t="s">
        <v>10</v>
      </c>
      <c r="E3" s="188" t="s">
        <v>11</v>
      </c>
      <c r="F3" s="189" t="s">
        <v>12</v>
      </c>
      <c r="G3" s="190" t="s">
        <v>13</v>
      </c>
      <c r="H3" s="229" t="s">
        <v>14</v>
      </c>
      <c r="I3" s="229" t="s">
        <v>15</v>
      </c>
      <c r="J3" s="229" t="s">
        <v>16</v>
      </c>
      <c r="K3" s="189"/>
      <c r="L3" s="229" t="s">
        <v>17</v>
      </c>
      <c r="M3" s="92">
        <v>42387</v>
      </c>
      <c r="N3" s="185" t="str">
        <f t="shared" ref="N3:N10" ca="1" si="0">DATEDIF(M3,TODAY(),"Y")&amp;"."&amp;TEXT(DATEDIF(M3,TODAY(),"YM"),"00")</f>
        <v>10.02</v>
      </c>
      <c r="O3" s="218">
        <f ca="1">LEFT(N3,FIND(".",N3)-1)+IF(LEN(RIGHT(N3,LEN(N3)-FIND(".",N3)))=1,CONCATENATE("0.0",RIGHT(N3,LEN(N3)-FIND(".",N3))),CONCATENATE("0.",RIGHT(N3,LEN(N3)-FIND(".",N3))))</f>
        <v>10.02</v>
      </c>
      <c r="P3" s="189">
        <v>2.02</v>
      </c>
      <c r="Q3" s="187">
        <v>9840850744</v>
      </c>
    </row>
    <row r="4" spans="1:17" ht="20.100000000000001" customHeight="1">
      <c r="A4" s="102">
        <v>2</v>
      </c>
      <c r="B4" s="150">
        <v>308</v>
      </c>
      <c r="C4" s="186" t="s">
        <v>18</v>
      </c>
      <c r="D4" s="187" t="s">
        <v>19</v>
      </c>
      <c r="E4" s="188" t="s">
        <v>20</v>
      </c>
      <c r="F4" s="189" t="s">
        <v>21</v>
      </c>
      <c r="G4" s="190" t="s">
        <v>22</v>
      </c>
      <c r="H4" s="191" t="s">
        <v>23</v>
      </c>
      <c r="I4" s="189">
        <v>2015</v>
      </c>
      <c r="J4" s="229" t="s">
        <v>24</v>
      </c>
      <c r="K4" s="189"/>
      <c r="L4" s="229" t="s">
        <v>25</v>
      </c>
      <c r="M4" s="92">
        <v>39259</v>
      </c>
      <c r="N4" s="185" t="str">
        <f t="shared" ca="1" si="0"/>
        <v>18.09</v>
      </c>
      <c r="O4" s="218">
        <f t="shared" ref="O4:O10" ca="1" si="1">LEFT(N4,FIND(".",N4)-1)+IF(LEN(RIGHT(N4,LEN(N4)-FIND(".",N4)))=1,CONCATENATE("0.0",RIGHT(N4,LEN(N4)-FIND(".",N4))),CONCATENATE("0.",RIGHT(N4,LEN(N4)-FIND(".",N4))))</f>
        <v>18.09</v>
      </c>
      <c r="P4" s="219">
        <v>7.05</v>
      </c>
      <c r="Q4" s="187">
        <v>9908823834</v>
      </c>
    </row>
    <row r="5" spans="1:17" ht="20.100000000000001" customHeight="1">
      <c r="A5" s="102">
        <v>4</v>
      </c>
      <c r="B5" s="76">
        <v>1182</v>
      </c>
      <c r="C5" s="192" t="s">
        <v>26</v>
      </c>
      <c r="D5" s="193" t="s">
        <v>27</v>
      </c>
      <c r="E5" s="105" t="s">
        <v>28</v>
      </c>
      <c r="F5" s="185" t="s">
        <v>29</v>
      </c>
      <c r="G5" s="194" t="s">
        <v>30</v>
      </c>
      <c r="H5" s="191" t="s">
        <v>31</v>
      </c>
      <c r="I5" s="185">
        <v>221</v>
      </c>
      <c r="J5" s="185" t="s">
        <v>32</v>
      </c>
      <c r="K5" s="185"/>
      <c r="L5" s="220" t="s">
        <v>32</v>
      </c>
      <c r="M5" s="93">
        <v>42193</v>
      </c>
      <c r="N5" s="185" t="str">
        <f t="shared" ca="1" si="0"/>
        <v>10.09</v>
      </c>
      <c r="O5" s="218">
        <f t="shared" ca="1" si="1"/>
        <v>10.09</v>
      </c>
      <c r="P5" s="218">
        <v>6.11</v>
      </c>
      <c r="Q5" s="187">
        <v>9676354404</v>
      </c>
    </row>
    <row r="6" spans="1:17" ht="20.100000000000001" customHeight="1">
      <c r="A6" s="185">
        <v>5</v>
      </c>
      <c r="B6" s="76">
        <v>2090</v>
      </c>
      <c r="C6" s="195" t="s">
        <v>33</v>
      </c>
      <c r="D6" s="193" t="s">
        <v>34</v>
      </c>
      <c r="E6" s="105" t="s">
        <v>35</v>
      </c>
      <c r="F6" s="185" t="s">
        <v>36</v>
      </c>
      <c r="G6" s="194" t="s">
        <v>37</v>
      </c>
      <c r="H6" s="191" t="s">
        <v>38</v>
      </c>
      <c r="I6" s="185">
        <v>2021</v>
      </c>
      <c r="J6" s="185" t="s">
        <v>39</v>
      </c>
      <c r="K6" s="221" t="s">
        <v>40</v>
      </c>
      <c r="L6" s="185" t="s">
        <v>41</v>
      </c>
      <c r="M6" s="93">
        <v>44107</v>
      </c>
      <c r="N6" s="185" t="str">
        <f t="shared" ca="1" si="0"/>
        <v>5.06</v>
      </c>
      <c r="O6" s="218">
        <f t="shared" ca="1" si="1"/>
        <v>5.0599999999999996</v>
      </c>
      <c r="P6" s="218">
        <v>3.07</v>
      </c>
      <c r="Q6" s="187">
        <v>9441540580</v>
      </c>
    </row>
    <row r="7" spans="1:17" ht="20.100000000000001" customHeight="1">
      <c r="A7" s="185">
        <v>7</v>
      </c>
      <c r="B7" s="150">
        <v>312</v>
      </c>
      <c r="C7" s="186" t="s">
        <v>42</v>
      </c>
      <c r="D7" s="187" t="s">
        <v>34</v>
      </c>
      <c r="E7" s="105" t="s">
        <v>43</v>
      </c>
      <c r="F7" s="185" t="s">
        <v>44</v>
      </c>
      <c r="G7" s="194" t="s">
        <v>45</v>
      </c>
      <c r="H7" s="191" t="s">
        <v>46</v>
      </c>
      <c r="I7" s="185">
        <v>2023</v>
      </c>
      <c r="J7" s="185" t="s">
        <v>47</v>
      </c>
      <c r="K7" s="220" t="s">
        <v>48</v>
      </c>
      <c r="L7" s="185" t="s">
        <v>25</v>
      </c>
      <c r="M7" s="93">
        <v>40206</v>
      </c>
      <c r="N7" s="185" t="str">
        <f t="shared" ca="1" si="0"/>
        <v>16.02</v>
      </c>
      <c r="O7" s="218">
        <f t="shared" ca="1" si="1"/>
        <v>16.02</v>
      </c>
      <c r="P7" s="218">
        <v>2</v>
      </c>
      <c r="Q7" s="187">
        <v>8297208489</v>
      </c>
    </row>
    <row r="8" spans="1:17" ht="20.100000000000001" customHeight="1">
      <c r="A8" s="102">
        <v>8</v>
      </c>
      <c r="B8" s="150">
        <v>540</v>
      </c>
      <c r="C8" s="186" t="s">
        <v>49</v>
      </c>
      <c r="D8" s="187" t="s">
        <v>34</v>
      </c>
      <c r="E8" s="105" t="s">
        <v>50</v>
      </c>
      <c r="F8" s="185" t="s">
        <v>51</v>
      </c>
      <c r="G8" s="194" t="s">
        <v>52</v>
      </c>
      <c r="H8" s="189" t="s">
        <v>53</v>
      </c>
      <c r="I8" s="189" t="s">
        <v>53</v>
      </c>
      <c r="J8" s="189" t="s">
        <v>53</v>
      </c>
      <c r="K8" s="220" t="s">
        <v>48</v>
      </c>
      <c r="L8" s="189" t="s">
        <v>54</v>
      </c>
      <c r="M8" s="93">
        <v>40032</v>
      </c>
      <c r="N8" s="185" t="str">
        <f t="shared" ca="1" si="0"/>
        <v>16.08</v>
      </c>
      <c r="O8" s="218">
        <f t="shared" ca="1" si="1"/>
        <v>16.079999999999998</v>
      </c>
      <c r="P8" s="218">
        <v>0</v>
      </c>
      <c r="Q8" s="187">
        <v>9550367172</v>
      </c>
    </row>
    <row r="9" spans="1:17" ht="20.100000000000001" customHeight="1">
      <c r="A9" s="185">
        <v>9</v>
      </c>
      <c r="B9" s="150">
        <v>1181</v>
      </c>
      <c r="C9" s="194" t="s">
        <v>55</v>
      </c>
      <c r="D9" s="187" t="s">
        <v>34</v>
      </c>
      <c r="E9" s="105" t="s">
        <v>56</v>
      </c>
      <c r="F9" s="185" t="s">
        <v>57</v>
      </c>
      <c r="G9" s="194" t="s">
        <v>13</v>
      </c>
      <c r="H9" s="189" t="s">
        <v>53</v>
      </c>
      <c r="I9" s="189" t="s">
        <v>53</v>
      </c>
      <c r="J9" s="189" t="s">
        <v>53</v>
      </c>
      <c r="K9" s="189"/>
      <c r="L9" s="189" t="s">
        <v>25</v>
      </c>
      <c r="M9" s="93">
        <v>42193</v>
      </c>
      <c r="N9" s="185" t="str">
        <f t="shared" ca="1" si="0"/>
        <v>10.09</v>
      </c>
      <c r="O9" s="218">
        <f t="shared" ca="1" si="1"/>
        <v>10.09</v>
      </c>
      <c r="P9" s="218">
        <v>0</v>
      </c>
      <c r="Q9" s="187">
        <v>9493670612</v>
      </c>
    </row>
    <row r="10" spans="1:17" ht="20.100000000000001" customHeight="1">
      <c r="A10" s="102">
        <v>10</v>
      </c>
      <c r="B10" s="76">
        <v>1243</v>
      </c>
      <c r="C10" s="194" t="s">
        <v>58</v>
      </c>
      <c r="D10" s="187" t="s">
        <v>34</v>
      </c>
      <c r="E10" s="105" t="s">
        <v>28</v>
      </c>
      <c r="F10" s="185" t="s">
        <v>59</v>
      </c>
      <c r="G10" s="194" t="s">
        <v>60</v>
      </c>
      <c r="H10" s="189" t="s">
        <v>53</v>
      </c>
      <c r="I10" s="189" t="s">
        <v>53</v>
      </c>
      <c r="J10" s="189" t="s">
        <v>53</v>
      </c>
      <c r="K10" s="189"/>
      <c r="L10" s="189" t="s">
        <v>25</v>
      </c>
      <c r="M10" s="93">
        <v>42354</v>
      </c>
      <c r="N10" s="185" t="str">
        <f t="shared" ca="1" si="0"/>
        <v>10.04</v>
      </c>
      <c r="O10" s="218">
        <f t="shared" ca="1" si="1"/>
        <v>10.039999999999999</v>
      </c>
      <c r="P10" s="218">
        <v>2.0699999999999998</v>
      </c>
      <c r="Q10" s="187">
        <v>8790166779</v>
      </c>
    </row>
    <row r="11" spans="1:17" ht="20.100000000000001" customHeight="1">
      <c r="A11" s="102">
        <v>12</v>
      </c>
      <c r="B11" s="76">
        <v>30410</v>
      </c>
      <c r="C11" s="101" t="s">
        <v>61</v>
      </c>
      <c r="D11" s="104" t="s">
        <v>62</v>
      </c>
      <c r="E11" s="105" t="s">
        <v>28</v>
      </c>
      <c r="F11" s="104">
        <v>2022</v>
      </c>
      <c r="G11" s="196" t="s">
        <v>47</v>
      </c>
      <c r="H11" s="104"/>
      <c r="I11" s="104"/>
      <c r="J11" s="104"/>
      <c r="K11" s="104"/>
      <c r="L11" s="69"/>
      <c r="M11" s="61">
        <v>44928</v>
      </c>
      <c r="N11" s="123"/>
      <c r="O11" s="123"/>
      <c r="P11" s="123"/>
      <c r="Q11" s="76">
        <v>7995622962</v>
      </c>
    </row>
    <row r="12" spans="1:17" ht="20.100000000000001" customHeight="1">
      <c r="A12" s="102">
        <v>14</v>
      </c>
      <c r="B12" s="76">
        <v>2432</v>
      </c>
      <c r="C12" s="197" t="s">
        <v>63</v>
      </c>
      <c r="D12" s="187" t="s">
        <v>34</v>
      </c>
      <c r="E12" s="198" t="s">
        <v>64</v>
      </c>
      <c r="F12" s="187">
        <v>2015</v>
      </c>
      <c r="G12" s="186" t="s">
        <v>65</v>
      </c>
      <c r="H12" s="187"/>
      <c r="I12" s="187"/>
      <c r="J12" s="187"/>
      <c r="K12" s="220" t="s">
        <v>48</v>
      </c>
      <c r="L12" s="69"/>
      <c r="M12" s="61">
        <v>44982</v>
      </c>
      <c r="N12" s="123"/>
      <c r="O12" s="123"/>
      <c r="P12" s="123"/>
      <c r="Q12" s="76">
        <v>7093243607</v>
      </c>
    </row>
    <row r="13" spans="1:17" ht="20.100000000000001" customHeight="1">
      <c r="A13" s="185">
        <v>15</v>
      </c>
      <c r="B13" s="199" t="s">
        <v>66</v>
      </c>
      <c r="C13" s="194" t="s">
        <v>67</v>
      </c>
      <c r="D13" s="185" t="s">
        <v>68</v>
      </c>
      <c r="E13" s="188" t="s">
        <v>69</v>
      </c>
      <c r="F13" s="189" t="s">
        <v>70</v>
      </c>
      <c r="G13" s="190" t="s">
        <v>71</v>
      </c>
      <c r="H13" s="229" t="s">
        <v>14</v>
      </c>
      <c r="I13" s="185">
        <v>2021</v>
      </c>
      <c r="J13" s="185" t="s">
        <v>72</v>
      </c>
      <c r="K13" s="185"/>
      <c r="L13" s="185" t="s">
        <v>54</v>
      </c>
      <c r="M13" s="93">
        <v>45014</v>
      </c>
      <c r="N13" s="185" t="str">
        <f t="shared" ref="N13" ca="1" si="2">DATEDIF(M13,TODAY(),"Y")&amp;"."&amp;TEXT(DATEDIF(M13,TODAY(),"YM"),"00")</f>
        <v>3.00</v>
      </c>
      <c r="O13" s="218">
        <f t="shared" ref="O13" ca="1" si="3">LEFT(N13,FIND(".",N13)-1)+IF(LEN(RIGHT(N13,LEN(N13)-FIND(".",N13)))=1,CONCATENATE("0.0",RIGHT(N13,LEN(N13)-FIND(".",N13))),CONCATENATE("0.",RIGHT(N13,LEN(N13)-FIND(".",N13))))</f>
        <v>3</v>
      </c>
      <c r="P13" s="218">
        <v>1.03</v>
      </c>
      <c r="Q13" s="76">
        <v>9614547390</v>
      </c>
    </row>
    <row r="14" spans="1:17" ht="20.100000000000001" customHeight="1">
      <c r="A14" s="102">
        <v>16</v>
      </c>
      <c r="B14" s="76">
        <v>2454</v>
      </c>
      <c r="C14" s="200" t="s">
        <v>73</v>
      </c>
      <c r="D14" s="201" t="s">
        <v>34</v>
      </c>
      <c r="E14" s="202" t="s">
        <v>74</v>
      </c>
      <c r="F14" s="189" t="s">
        <v>75</v>
      </c>
      <c r="G14" s="190" t="s">
        <v>76</v>
      </c>
      <c r="H14" s="229" t="s">
        <v>14</v>
      </c>
      <c r="I14" s="185">
        <v>2023</v>
      </c>
      <c r="J14" s="222" t="s">
        <v>77</v>
      </c>
      <c r="K14" s="185"/>
      <c r="L14" s="185"/>
      <c r="M14" s="93">
        <v>45047</v>
      </c>
      <c r="N14" s="185"/>
      <c r="O14" s="218"/>
      <c r="P14" s="218"/>
      <c r="Q14" s="150">
        <v>7729990303</v>
      </c>
    </row>
    <row r="15" spans="1:17" ht="20.100000000000001" customHeight="1">
      <c r="A15" s="102">
        <v>18</v>
      </c>
      <c r="B15" s="94">
        <v>2488</v>
      </c>
      <c r="C15" s="203" t="s">
        <v>78</v>
      </c>
      <c r="D15" s="201" t="s">
        <v>34</v>
      </c>
      <c r="E15" s="103" t="s">
        <v>79</v>
      </c>
      <c r="F15" s="94" t="s">
        <v>80</v>
      </c>
      <c r="G15" s="197" t="s">
        <v>81</v>
      </c>
      <c r="H15" s="229" t="s">
        <v>14</v>
      </c>
      <c r="I15" s="94">
        <v>2024</v>
      </c>
      <c r="J15" s="203" t="s">
        <v>82</v>
      </c>
      <c r="K15" s="94"/>
      <c r="L15" s="69"/>
      <c r="M15" s="99">
        <v>45082</v>
      </c>
      <c r="N15" s="123"/>
      <c r="O15" s="123"/>
      <c r="P15" s="123"/>
      <c r="Q15" s="228">
        <v>9475176321</v>
      </c>
    </row>
    <row r="16" spans="1:17" ht="20.100000000000001" customHeight="1">
      <c r="A16" s="185">
        <v>19</v>
      </c>
      <c r="B16" s="76">
        <v>2490</v>
      </c>
      <c r="C16" s="101" t="s">
        <v>83</v>
      </c>
      <c r="D16" s="201" t="s">
        <v>84</v>
      </c>
      <c r="E16" s="103" t="s">
        <v>85</v>
      </c>
      <c r="F16" s="94">
        <v>2008</v>
      </c>
      <c r="G16" s="203"/>
      <c r="H16" s="94" t="s">
        <v>86</v>
      </c>
      <c r="I16" s="94">
        <v>2022</v>
      </c>
      <c r="J16" s="94" t="s">
        <v>87</v>
      </c>
      <c r="K16" s="94"/>
      <c r="L16" s="69"/>
      <c r="M16" s="96">
        <v>45084</v>
      </c>
      <c r="N16" s="123"/>
      <c r="O16" s="123"/>
      <c r="P16" s="123"/>
      <c r="Q16" s="76">
        <v>9848129660</v>
      </c>
    </row>
    <row r="17" spans="1:17" ht="20.100000000000001" customHeight="1">
      <c r="A17" s="102">
        <v>20</v>
      </c>
      <c r="B17" s="76">
        <v>2493</v>
      </c>
      <c r="C17" s="101" t="s">
        <v>88</v>
      </c>
      <c r="D17" s="201" t="s">
        <v>89</v>
      </c>
      <c r="E17" s="103" t="s">
        <v>90</v>
      </c>
      <c r="F17" s="94" t="s">
        <v>91</v>
      </c>
      <c r="G17" s="203" t="s">
        <v>92</v>
      </c>
      <c r="H17" s="94" t="s">
        <v>93</v>
      </c>
      <c r="I17" s="94">
        <v>2021</v>
      </c>
      <c r="J17" s="94" t="s">
        <v>94</v>
      </c>
      <c r="K17" s="94"/>
      <c r="L17" s="69"/>
      <c r="M17" s="96">
        <v>45092</v>
      </c>
      <c r="N17" s="123"/>
      <c r="O17" s="123"/>
      <c r="P17" s="123"/>
      <c r="Q17" s="150">
        <v>8940506036</v>
      </c>
    </row>
    <row r="18" spans="1:17" ht="20.100000000000001" customHeight="1">
      <c r="A18" s="102">
        <v>22</v>
      </c>
      <c r="B18" s="76">
        <v>2499</v>
      </c>
      <c r="C18" s="101" t="s">
        <v>95</v>
      </c>
      <c r="D18" s="201" t="s">
        <v>89</v>
      </c>
      <c r="E18" s="103" t="s">
        <v>96</v>
      </c>
      <c r="F18" s="94" t="s">
        <v>97</v>
      </c>
      <c r="G18" s="203" t="s">
        <v>98</v>
      </c>
      <c r="H18" s="94" t="s">
        <v>99</v>
      </c>
      <c r="I18" s="94">
        <v>2022</v>
      </c>
      <c r="J18" s="94" t="s">
        <v>100</v>
      </c>
      <c r="K18" s="94"/>
      <c r="L18" s="101"/>
      <c r="M18" s="61">
        <v>45103</v>
      </c>
      <c r="N18" s="76"/>
      <c r="O18" s="76"/>
      <c r="P18" s="76"/>
      <c r="Q18" s="76">
        <v>999447633</v>
      </c>
    </row>
    <row r="19" spans="1:17" ht="20.100000000000001" customHeight="1">
      <c r="A19" s="185">
        <v>23</v>
      </c>
      <c r="B19" s="76">
        <v>2501</v>
      </c>
      <c r="C19" s="101" t="s">
        <v>101</v>
      </c>
      <c r="D19" s="201" t="s">
        <v>89</v>
      </c>
      <c r="E19" s="103" t="s">
        <v>102</v>
      </c>
      <c r="F19" s="94" t="s">
        <v>103</v>
      </c>
      <c r="G19" s="203" t="s">
        <v>104</v>
      </c>
      <c r="H19" s="94" t="s">
        <v>105</v>
      </c>
      <c r="I19" s="94">
        <v>2023</v>
      </c>
      <c r="J19" s="94" t="s">
        <v>106</v>
      </c>
      <c r="K19" s="94"/>
      <c r="L19" s="101"/>
      <c r="M19" s="61">
        <v>45103</v>
      </c>
      <c r="N19" s="76"/>
      <c r="O19" s="76"/>
      <c r="P19" s="76"/>
      <c r="Q19" s="76">
        <v>9848052474</v>
      </c>
    </row>
    <row r="20" spans="1:17" ht="20.100000000000001" customHeight="1">
      <c r="A20" s="102">
        <v>24</v>
      </c>
      <c r="B20" s="76">
        <v>2502</v>
      </c>
      <c r="C20" s="101" t="s">
        <v>107</v>
      </c>
      <c r="D20" s="201" t="s">
        <v>34</v>
      </c>
      <c r="E20" s="103" t="s">
        <v>108</v>
      </c>
      <c r="F20" s="76"/>
      <c r="G20" s="197"/>
      <c r="H20" s="76"/>
      <c r="I20" s="76"/>
      <c r="J20" s="76"/>
      <c r="K20" s="76"/>
      <c r="L20" s="101"/>
      <c r="M20" s="62">
        <v>45105</v>
      </c>
      <c r="N20" s="76"/>
      <c r="O20" s="76"/>
      <c r="P20" s="76"/>
      <c r="Q20" s="76"/>
    </row>
    <row r="21" spans="1:17" ht="20.100000000000001" customHeight="1">
      <c r="A21" s="102">
        <v>26</v>
      </c>
      <c r="B21" s="76">
        <v>2511</v>
      </c>
      <c r="C21" s="101" t="s">
        <v>109</v>
      </c>
      <c r="D21" s="201" t="s">
        <v>27</v>
      </c>
      <c r="E21" s="204" t="s">
        <v>110</v>
      </c>
      <c r="F21" s="76" t="s">
        <v>111</v>
      </c>
      <c r="G21" s="197" t="s">
        <v>39</v>
      </c>
      <c r="H21" s="76" t="s">
        <v>112</v>
      </c>
      <c r="I21" s="76">
        <v>2017</v>
      </c>
      <c r="J21" s="101" t="s">
        <v>39</v>
      </c>
      <c r="K21" s="76"/>
      <c r="L21" s="101"/>
      <c r="M21" s="62">
        <v>45112</v>
      </c>
      <c r="N21" s="76"/>
      <c r="O21" s="76"/>
      <c r="P21" s="76"/>
      <c r="Q21" s="76">
        <v>6379772780</v>
      </c>
    </row>
    <row r="22" spans="1:17" ht="20.100000000000001" customHeight="1">
      <c r="A22" s="185">
        <v>27</v>
      </c>
      <c r="B22" s="76">
        <v>2514</v>
      </c>
      <c r="C22" s="101" t="s">
        <v>113</v>
      </c>
      <c r="D22" s="201" t="s">
        <v>68</v>
      </c>
      <c r="E22" s="204" t="s">
        <v>114</v>
      </c>
      <c r="F22" s="76" t="s">
        <v>115</v>
      </c>
      <c r="G22" s="197" t="s">
        <v>100</v>
      </c>
      <c r="H22" s="76" t="s">
        <v>116</v>
      </c>
      <c r="I22" s="76">
        <v>2022</v>
      </c>
      <c r="J22" s="101" t="s">
        <v>100</v>
      </c>
      <c r="K22" s="76"/>
      <c r="L22" s="101"/>
      <c r="M22" s="62">
        <v>45117</v>
      </c>
      <c r="N22" s="76"/>
      <c r="O22" s="76"/>
      <c r="P22" s="76"/>
      <c r="Q22" s="76">
        <v>9500312191</v>
      </c>
    </row>
    <row r="23" spans="1:17" ht="20.100000000000001" customHeight="1">
      <c r="A23" s="102">
        <v>28</v>
      </c>
      <c r="B23" s="76">
        <v>2517</v>
      </c>
      <c r="C23" s="101" t="s">
        <v>117</v>
      </c>
      <c r="D23" s="201" t="s">
        <v>68</v>
      </c>
      <c r="E23" s="205" t="s">
        <v>118</v>
      </c>
      <c r="F23" s="123">
        <v>2023</v>
      </c>
      <c r="G23" s="197" t="s">
        <v>119</v>
      </c>
      <c r="H23" s="123"/>
      <c r="I23" s="123"/>
      <c r="J23" s="123"/>
      <c r="K23" s="123"/>
      <c r="L23" s="69"/>
      <c r="M23" s="96">
        <v>45117</v>
      </c>
      <c r="N23" s="123"/>
      <c r="O23" s="123"/>
      <c r="P23" s="123"/>
      <c r="Q23" s="76">
        <v>9381822021</v>
      </c>
    </row>
    <row r="24" spans="1:17" ht="20.100000000000001" customHeight="1">
      <c r="A24" s="185">
        <v>29</v>
      </c>
      <c r="B24" s="76">
        <v>2519</v>
      </c>
      <c r="C24" s="101" t="s">
        <v>120</v>
      </c>
      <c r="D24" s="201" t="s">
        <v>68</v>
      </c>
      <c r="E24" s="205" t="s">
        <v>108</v>
      </c>
      <c r="F24" s="123"/>
      <c r="G24" s="197"/>
      <c r="H24" s="123" t="s">
        <v>121</v>
      </c>
      <c r="I24" s="123"/>
      <c r="J24" s="123"/>
      <c r="K24" s="123"/>
      <c r="L24" s="69"/>
      <c r="M24" s="223">
        <v>45121</v>
      </c>
      <c r="N24" s="123"/>
      <c r="O24" s="123"/>
      <c r="P24" s="123"/>
      <c r="Q24" s="94" t="s">
        <v>122</v>
      </c>
    </row>
    <row r="25" spans="1:17" ht="20.100000000000001" customHeight="1">
      <c r="A25" s="102">
        <v>30</v>
      </c>
      <c r="B25" s="76">
        <v>2520</v>
      </c>
      <c r="C25" s="101" t="s">
        <v>123</v>
      </c>
      <c r="D25" s="201" t="s">
        <v>124</v>
      </c>
      <c r="E25" s="204" t="s">
        <v>125</v>
      </c>
      <c r="F25" s="123"/>
      <c r="G25" s="197"/>
      <c r="H25" s="123" t="s">
        <v>126</v>
      </c>
      <c r="I25" s="123"/>
      <c r="J25" s="123"/>
      <c r="K25" s="123"/>
      <c r="L25" s="69"/>
      <c r="M25" s="223">
        <v>45124</v>
      </c>
      <c r="N25" s="123"/>
      <c r="O25" s="123"/>
      <c r="P25" s="123"/>
      <c r="Q25" s="76">
        <v>8085865163</v>
      </c>
    </row>
    <row r="26" spans="1:17" ht="20.100000000000001" customHeight="1">
      <c r="A26" s="185">
        <v>33</v>
      </c>
      <c r="B26" s="76">
        <v>2541</v>
      </c>
      <c r="C26" s="197" t="s">
        <v>127</v>
      </c>
      <c r="D26" s="201" t="s">
        <v>34</v>
      </c>
      <c r="E26" s="103" t="s">
        <v>128</v>
      </c>
      <c r="F26" s="76">
        <v>2012</v>
      </c>
      <c r="G26" s="197" t="s">
        <v>129</v>
      </c>
      <c r="H26" s="76" t="s">
        <v>130</v>
      </c>
      <c r="I26" s="76">
        <v>2022</v>
      </c>
      <c r="J26" s="101"/>
      <c r="K26" s="101"/>
      <c r="L26" s="101"/>
      <c r="M26" s="76"/>
      <c r="N26" s="76"/>
      <c r="O26" s="76"/>
      <c r="P26" s="76"/>
      <c r="Q26" s="76">
        <v>7981738522</v>
      </c>
    </row>
    <row r="27" spans="1:17" ht="20.100000000000001" customHeight="1">
      <c r="A27" s="102">
        <v>34</v>
      </c>
      <c r="B27" s="76">
        <v>633</v>
      </c>
      <c r="C27" s="195" t="s">
        <v>131</v>
      </c>
      <c r="D27" s="102" t="s">
        <v>132</v>
      </c>
      <c r="E27" s="204" t="s">
        <v>108</v>
      </c>
      <c r="F27" s="76"/>
      <c r="G27" s="197"/>
      <c r="H27" s="76"/>
      <c r="I27" s="76"/>
      <c r="J27" s="224"/>
      <c r="K27" s="224"/>
      <c r="L27" s="225">
        <f ca="1">DATEDIF(M27,TODAY(),"y")</f>
        <v>15</v>
      </c>
      <c r="M27" s="62">
        <v>40380</v>
      </c>
      <c r="N27" s="76"/>
      <c r="O27" s="76"/>
      <c r="P27" s="76"/>
      <c r="Q27" s="102">
        <v>9494678628</v>
      </c>
    </row>
    <row r="28" spans="1:17" ht="20.100000000000001" customHeight="1">
      <c r="A28" s="185">
        <v>35</v>
      </c>
      <c r="B28" s="76">
        <v>2285</v>
      </c>
      <c r="C28" s="195" t="s">
        <v>133</v>
      </c>
      <c r="D28" s="102" t="s">
        <v>132</v>
      </c>
      <c r="E28" s="103" t="s">
        <v>134</v>
      </c>
      <c r="F28" s="76">
        <v>2010</v>
      </c>
      <c r="G28" s="197"/>
      <c r="H28" s="76"/>
      <c r="I28" s="76"/>
      <c r="J28" s="224"/>
      <c r="K28" s="224"/>
      <c r="L28" s="225">
        <f ca="1">DATEDIF(M28,TODAY(),"y")</f>
        <v>3</v>
      </c>
      <c r="M28" s="62">
        <v>44718</v>
      </c>
      <c r="N28" s="76"/>
      <c r="O28" s="76"/>
      <c r="P28" s="76"/>
      <c r="Q28" s="102">
        <v>9640066261</v>
      </c>
    </row>
    <row r="29" spans="1:17" ht="20.100000000000001" customHeight="1">
      <c r="A29" s="102">
        <v>36</v>
      </c>
      <c r="B29" s="76">
        <v>2474</v>
      </c>
      <c r="C29" s="195" t="s">
        <v>135</v>
      </c>
      <c r="D29" s="102" t="s">
        <v>136</v>
      </c>
      <c r="E29" s="103" t="s">
        <v>137</v>
      </c>
      <c r="F29" s="76" t="s">
        <v>138</v>
      </c>
      <c r="G29" s="206" t="s">
        <v>139</v>
      </c>
      <c r="H29" s="76"/>
      <c r="I29" s="76"/>
      <c r="J29" s="224"/>
      <c r="K29" s="224"/>
      <c r="L29" s="225"/>
      <c r="M29" s="62"/>
      <c r="N29" s="76"/>
      <c r="O29" s="76"/>
      <c r="P29" s="76"/>
      <c r="Q29" s="102"/>
    </row>
    <row r="30" spans="1:17" ht="20.100000000000001" customHeight="1">
      <c r="A30" s="185">
        <v>37</v>
      </c>
      <c r="B30" s="76">
        <v>2473</v>
      </c>
      <c r="C30" s="101" t="s">
        <v>140</v>
      </c>
      <c r="D30" s="102" t="s">
        <v>136</v>
      </c>
      <c r="E30" s="103" t="s">
        <v>108</v>
      </c>
      <c r="F30" s="76"/>
      <c r="G30" s="101" t="s">
        <v>141</v>
      </c>
      <c r="H30" s="76"/>
      <c r="I30" s="76"/>
      <c r="J30" s="224"/>
      <c r="K30" s="224"/>
      <c r="L30" s="225">
        <f ca="1">DATEDIF(M30,TODAY(),"y")</f>
        <v>2</v>
      </c>
      <c r="M30" s="62">
        <v>45071</v>
      </c>
      <c r="N30" s="76"/>
      <c r="O30" s="76"/>
      <c r="P30" s="76"/>
      <c r="Q30" s="76">
        <v>8790500801</v>
      </c>
    </row>
    <row r="31" spans="1:17" ht="20.100000000000001" customHeight="1">
      <c r="A31" s="102">
        <v>38</v>
      </c>
      <c r="B31" s="76">
        <v>2538</v>
      </c>
      <c r="C31" s="101" t="s">
        <v>142</v>
      </c>
      <c r="D31" s="101" t="s">
        <v>143</v>
      </c>
      <c r="E31" s="204" t="s">
        <v>144</v>
      </c>
      <c r="F31" s="76"/>
      <c r="G31" s="206" t="s">
        <v>145</v>
      </c>
      <c r="H31" s="76"/>
      <c r="I31" s="76"/>
      <c r="J31" s="101"/>
      <c r="K31" s="101"/>
      <c r="L31" s="101"/>
      <c r="M31" s="62">
        <v>45139</v>
      </c>
      <c r="N31" s="76"/>
      <c r="O31" s="76"/>
      <c r="P31" s="76"/>
      <c r="Q31" s="76">
        <v>9848526387</v>
      </c>
    </row>
    <row r="32" spans="1:17" ht="20.100000000000001" customHeight="1">
      <c r="A32" s="185">
        <v>39</v>
      </c>
      <c r="B32" s="76">
        <v>2564</v>
      </c>
      <c r="C32" s="101" t="s">
        <v>146</v>
      </c>
      <c r="D32" s="102" t="s">
        <v>147</v>
      </c>
      <c r="E32" s="204" t="s">
        <v>148</v>
      </c>
      <c r="F32" s="76"/>
      <c r="G32" s="206" t="s">
        <v>149</v>
      </c>
      <c r="H32" s="76"/>
      <c r="I32" s="76"/>
      <c r="J32" s="101"/>
      <c r="K32" s="101"/>
      <c r="L32" s="101"/>
      <c r="M32" s="62"/>
      <c r="N32" s="76"/>
      <c r="O32" s="76"/>
      <c r="P32" s="76"/>
      <c r="Q32" s="76">
        <v>7675051328</v>
      </c>
    </row>
    <row r="33" spans="1:17" ht="20.100000000000001" customHeight="1">
      <c r="A33" s="185">
        <v>41</v>
      </c>
      <c r="B33" s="76"/>
      <c r="C33" s="101" t="s">
        <v>150</v>
      </c>
      <c r="D33" s="201" t="s">
        <v>34</v>
      </c>
      <c r="E33" s="204"/>
      <c r="F33" s="76"/>
      <c r="G33" s="197"/>
      <c r="H33" s="76"/>
      <c r="I33" s="76"/>
      <c r="J33" s="101"/>
      <c r="K33" s="76"/>
      <c r="L33" s="225"/>
      <c r="M33" s="62">
        <v>45245</v>
      </c>
      <c r="N33" s="76"/>
      <c r="O33" s="76"/>
      <c r="P33" s="76"/>
      <c r="Q33" s="76">
        <v>8876018296</v>
      </c>
    </row>
    <row r="34" spans="1:17" ht="20.100000000000001" customHeight="1">
      <c r="A34" s="102">
        <v>42</v>
      </c>
      <c r="B34" s="76">
        <v>2541</v>
      </c>
      <c r="C34" s="207" t="s">
        <v>151</v>
      </c>
      <c r="D34" s="201" t="s">
        <v>34</v>
      </c>
      <c r="E34" s="205" t="s">
        <v>152</v>
      </c>
      <c r="F34" s="123"/>
      <c r="G34" s="197"/>
      <c r="H34" s="123"/>
      <c r="I34" s="123"/>
      <c r="J34" s="123"/>
      <c r="K34" s="123"/>
      <c r="L34" s="69"/>
      <c r="M34" s="99">
        <v>45293</v>
      </c>
      <c r="N34" s="123"/>
      <c r="O34" s="123"/>
      <c r="P34" s="123"/>
      <c r="Q34" s="76">
        <v>9094802494</v>
      </c>
    </row>
    <row r="35" spans="1:17" ht="20.100000000000001" customHeight="1">
      <c r="A35" s="185">
        <v>43</v>
      </c>
      <c r="B35" s="76">
        <v>2687</v>
      </c>
      <c r="C35" s="207" t="s">
        <v>153</v>
      </c>
      <c r="D35" s="201" t="s">
        <v>34</v>
      </c>
      <c r="E35" s="205" t="s">
        <v>152</v>
      </c>
      <c r="F35" s="123"/>
      <c r="G35" s="197"/>
      <c r="H35" s="123"/>
      <c r="I35" s="123"/>
      <c r="J35" s="123"/>
      <c r="K35" s="123"/>
      <c r="L35" s="69"/>
      <c r="M35" s="62">
        <v>45287</v>
      </c>
      <c r="N35" s="123"/>
      <c r="O35" s="123"/>
      <c r="P35" s="123"/>
      <c r="Q35" s="76">
        <v>9668112717</v>
      </c>
    </row>
    <row r="36" spans="1:17" ht="20.100000000000001" customHeight="1">
      <c r="A36" s="102">
        <v>44</v>
      </c>
      <c r="B36" s="76">
        <v>2689</v>
      </c>
      <c r="C36" s="101" t="s">
        <v>154</v>
      </c>
      <c r="D36" s="201" t="s">
        <v>34</v>
      </c>
      <c r="E36" s="208" t="s">
        <v>155</v>
      </c>
      <c r="F36" s="123"/>
      <c r="G36" s="197"/>
      <c r="H36" s="123" t="s">
        <v>14</v>
      </c>
      <c r="I36" s="123"/>
      <c r="J36" s="123"/>
      <c r="K36" s="123"/>
      <c r="L36" s="69"/>
      <c r="M36" s="96">
        <v>45289</v>
      </c>
      <c r="N36" s="123"/>
      <c r="O36" s="123"/>
      <c r="P36" s="123"/>
      <c r="Q36" s="76">
        <v>7006157037</v>
      </c>
    </row>
    <row r="37" spans="1:17" ht="20.100000000000001" customHeight="1">
      <c r="A37" s="185">
        <v>45</v>
      </c>
      <c r="B37" s="76">
        <v>2721</v>
      </c>
      <c r="C37" s="14" t="s">
        <v>156</v>
      </c>
      <c r="D37" s="7" t="s">
        <v>157</v>
      </c>
      <c r="E37" s="208" t="s">
        <v>158</v>
      </c>
      <c r="F37" s="209" t="s">
        <v>159</v>
      </c>
      <c r="G37" s="210" t="s">
        <v>160</v>
      </c>
      <c r="H37" s="123" t="s">
        <v>14</v>
      </c>
      <c r="I37" s="123">
        <v>2024</v>
      </c>
      <c r="J37" s="123" t="s">
        <v>161</v>
      </c>
      <c r="K37" s="123"/>
      <c r="L37" s="69"/>
      <c r="M37" s="62">
        <v>45354</v>
      </c>
      <c r="N37" s="123"/>
      <c r="O37" s="123"/>
      <c r="P37" s="123"/>
      <c r="Q37" s="5" t="s">
        <v>162</v>
      </c>
    </row>
    <row r="38" spans="1:17" ht="20.100000000000001" customHeight="1">
      <c r="A38" s="185">
        <v>46</v>
      </c>
      <c r="B38" s="76">
        <v>2728</v>
      </c>
      <c r="C38" s="101" t="s">
        <v>163</v>
      </c>
      <c r="D38" s="201" t="s">
        <v>164</v>
      </c>
      <c r="E38" s="205" t="s">
        <v>165</v>
      </c>
      <c r="F38" s="123" t="s">
        <v>166</v>
      </c>
      <c r="G38" s="197" t="s">
        <v>167</v>
      </c>
      <c r="H38" s="123"/>
      <c r="I38" s="123"/>
      <c r="J38" s="123"/>
      <c r="K38" s="123"/>
      <c r="L38" s="69"/>
      <c r="M38" s="62">
        <v>45385</v>
      </c>
      <c r="N38" s="123"/>
      <c r="O38" s="123"/>
      <c r="P38" s="123"/>
      <c r="Q38" s="76">
        <v>7981960066</v>
      </c>
    </row>
    <row r="39" spans="1:17" ht="20.100000000000001" customHeight="1">
      <c r="A39" s="102">
        <v>47</v>
      </c>
      <c r="B39" s="76">
        <v>2765</v>
      </c>
      <c r="C39" s="101" t="s">
        <v>168</v>
      </c>
      <c r="D39" s="201" t="s">
        <v>34</v>
      </c>
      <c r="E39" s="208" t="s">
        <v>169</v>
      </c>
      <c r="F39" s="123"/>
      <c r="G39" s="197"/>
      <c r="H39" s="69"/>
      <c r="I39" s="123"/>
      <c r="J39" s="123"/>
      <c r="K39" s="123"/>
      <c r="L39" s="69"/>
      <c r="M39" s="223">
        <v>45453</v>
      </c>
      <c r="N39" s="123"/>
      <c r="O39" s="123"/>
      <c r="P39" s="123"/>
      <c r="Q39" s="76">
        <v>9788682940</v>
      </c>
    </row>
    <row r="40" spans="1:17" ht="20.100000000000001" customHeight="1">
      <c r="A40" s="185">
        <v>48</v>
      </c>
      <c r="B40" s="69"/>
      <c r="C40" s="101" t="s">
        <v>170</v>
      </c>
      <c r="D40" s="7" t="s">
        <v>157</v>
      </c>
      <c r="E40" s="208" t="s">
        <v>171</v>
      </c>
      <c r="F40" s="209" t="s">
        <v>172</v>
      </c>
      <c r="G40" s="203" t="s">
        <v>173</v>
      </c>
      <c r="H40" s="76" t="s">
        <v>130</v>
      </c>
      <c r="I40" s="123">
        <v>2020</v>
      </c>
      <c r="J40" s="123" t="s">
        <v>174</v>
      </c>
      <c r="K40" s="123"/>
      <c r="L40" s="69"/>
      <c r="M40" s="1"/>
      <c r="N40" s="123"/>
      <c r="O40" s="123"/>
      <c r="P40" s="123"/>
      <c r="Q40" s="76"/>
    </row>
    <row r="41" spans="1:17" ht="20.100000000000001" customHeight="1">
      <c r="A41" s="102">
        <v>49</v>
      </c>
      <c r="B41" s="53">
        <v>2812</v>
      </c>
      <c r="C41" s="77" t="s">
        <v>175</v>
      </c>
      <c r="D41" s="71" t="s">
        <v>68</v>
      </c>
      <c r="E41" s="211"/>
      <c r="F41" s="1"/>
      <c r="G41" s="101"/>
      <c r="H41" s="170"/>
      <c r="I41" s="1"/>
      <c r="J41" s="1"/>
      <c r="K41" s="1"/>
      <c r="M41" s="95">
        <v>45488</v>
      </c>
      <c r="N41" s="1"/>
      <c r="O41" s="1"/>
      <c r="P41" s="1"/>
      <c r="Q41" s="53">
        <v>7731063177</v>
      </c>
    </row>
    <row r="42" spans="1:17" ht="20.100000000000001" customHeight="1">
      <c r="A42" s="212">
        <v>50</v>
      </c>
      <c r="B42" s="158">
        <v>2814</v>
      </c>
      <c r="C42" s="213" t="s">
        <v>176</v>
      </c>
      <c r="D42" s="214" t="s">
        <v>68</v>
      </c>
      <c r="E42" s="211"/>
      <c r="F42" s="1"/>
      <c r="G42" s="215"/>
      <c r="H42" s="170"/>
      <c r="I42" s="1"/>
      <c r="J42" s="226" t="s">
        <v>177</v>
      </c>
      <c r="K42" s="1"/>
      <c r="M42" s="227">
        <v>45488</v>
      </c>
      <c r="N42" s="1"/>
      <c r="O42" s="1"/>
      <c r="P42" s="1"/>
      <c r="Q42" s="158">
        <v>8056033643</v>
      </c>
    </row>
    <row r="43" spans="1:17" ht="20.100000000000001" customHeight="1">
      <c r="A43" s="102">
        <v>51</v>
      </c>
      <c r="B43" s="53">
        <v>2826</v>
      </c>
      <c r="C43" s="55" t="s">
        <v>178</v>
      </c>
      <c r="D43" s="53" t="s">
        <v>62</v>
      </c>
      <c r="E43" s="205"/>
      <c r="F43" s="123"/>
      <c r="G43" s="69"/>
      <c r="H43" s="76"/>
      <c r="I43" s="123"/>
      <c r="J43" s="123"/>
      <c r="K43" s="123"/>
      <c r="L43" s="69"/>
      <c r="M43" s="95">
        <v>45495</v>
      </c>
      <c r="N43" s="123"/>
      <c r="O43" s="123"/>
      <c r="P43" s="123"/>
      <c r="Q43" s="53">
        <v>9542588470</v>
      </c>
    </row>
    <row r="44" spans="1:17" ht="20.100000000000001" customHeight="1">
      <c r="A44" s="185">
        <v>52</v>
      </c>
      <c r="B44" s="53">
        <v>2827</v>
      </c>
      <c r="C44" s="55" t="s">
        <v>179</v>
      </c>
      <c r="D44" s="71" t="s">
        <v>180</v>
      </c>
      <c r="E44" s="205"/>
      <c r="F44" s="123"/>
      <c r="G44" s="69"/>
      <c r="H44" s="76"/>
      <c r="I44" s="123"/>
      <c r="J44" s="123"/>
      <c r="K44" s="123"/>
      <c r="L44" s="69"/>
      <c r="M44" s="95">
        <v>45495</v>
      </c>
      <c r="N44" s="123"/>
      <c r="O44" s="123"/>
      <c r="P44" s="123"/>
      <c r="Q44" s="68">
        <v>8085575111</v>
      </c>
    </row>
    <row r="45" spans="1:17" ht="20.100000000000001" customHeight="1">
      <c r="A45" s="102">
        <v>53</v>
      </c>
      <c r="B45" s="53">
        <v>30679</v>
      </c>
      <c r="C45" s="55" t="s">
        <v>181</v>
      </c>
      <c r="D45" s="53" t="s">
        <v>62</v>
      </c>
      <c r="E45" s="205" t="s">
        <v>182</v>
      </c>
      <c r="F45" s="123">
        <v>2024</v>
      </c>
      <c r="G45" s="69"/>
      <c r="H45" s="123"/>
      <c r="I45" s="123"/>
      <c r="J45" s="123"/>
      <c r="K45" s="123"/>
      <c r="L45" s="69"/>
      <c r="M45" s="95">
        <v>45488</v>
      </c>
      <c r="N45" s="123"/>
      <c r="O45" s="123"/>
      <c r="P45" s="123"/>
      <c r="Q45" s="56">
        <v>9848126500</v>
      </c>
    </row>
    <row r="46" spans="1:17" ht="20.100000000000001" customHeight="1">
      <c r="A46" s="185">
        <v>54</v>
      </c>
      <c r="B46" s="53">
        <v>30683</v>
      </c>
      <c r="C46" s="55" t="s">
        <v>183</v>
      </c>
      <c r="D46" s="53" t="s">
        <v>62</v>
      </c>
      <c r="E46" s="205" t="s">
        <v>182</v>
      </c>
      <c r="F46" s="123">
        <v>2024</v>
      </c>
      <c r="G46" s="69"/>
      <c r="H46" s="123"/>
      <c r="I46" s="123"/>
      <c r="J46" s="123"/>
      <c r="K46" s="123"/>
      <c r="L46" s="69"/>
      <c r="M46" s="95">
        <v>45488</v>
      </c>
      <c r="N46" s="123"/>
      <c r="O46" s="123"/>
      <c r="P46" s="123"/>
      <c r="Q46" s="56">
        <v>7075547599</v>
      </c>
    </row>
    <row r="47" spans="1:17" ht="20.100000000000001" customHeight="1">
      <c r="A47" s="102">
        <v>55</v>
      </c>
      <c r="B47" s="53">
        <v>30680</v>
      </c>
      <c r="C47" s="55" t="s">
        <v>184</v>
      </c>
      <c r="D47" s="53" t="s">
        <v>62</v>
      </c>
      <c r="E47" s="205" t="s">
        <v>182</v>
      </c>
      <c r="F47" s="123">
        <v>2024</v>
      </c>
      <c r="G47" s="69"/>
      <c r="H47" s="123"/>
      <c r="I47" s="123"/>
      <c r="J47" s="123"/>
      <c r="K47" s="123"/>
      <c r="L47" s="69"/>
      <c r="M47" s="95">
        <v>45488</v>
      </c>
      <c r="N47" s="123"/>
      <c r="O47" s="123"/>
      <c r="P47" s="123"/>
      <c r="Q47" s="56">
        <v>9440359825</v>
      </c>
    </row>
    <row r="48" spans="1:17" ht="20.100000000000001" customHeight="1">
      <c r="A48" s="185">
        <v>56</v>
      </c>
      <c r="B48" s="53">
        <v>30681</v>
      </c>
      <c r="C48" s="55" t="s">
        <v>185</v>
      </c>
      <c r="D48" s="53" t="s">
        <v>62</v>
      </c>
      <c r="E48" s="205" t="s">
        <v>182</v>
      </c>
      <c r="F48" s="123">
        <v>2024</v>
      </c>
      <c r="G48" s="69"/>
      <c r="H48" s="123"/>
      <c r="I48" s="123"/>
      <c r="J48" s="123"/>
      <c r="K48" s="123"/>
      <c r="L48" s="69"/>
      <c r="M48" s="95">
        <v>45488</v>
      </c>
      <c r="N48" s="123"/>
      <c r="O48" s="123"/>
      <c r="P48" s="123"/>
      <c r="Q48" s="56">
        <v>7981570764</v>
      </c>
    </row>
    <row r="49" spans="1:17" ht="20.100000000000001" customHeight="1">
      <c r="A49" s="102">
        <v>57</v>
      </c>
      <c r="B49" s="53">
        <v>30682</v>
      </c>
      <c r="C49" s="55" t="s">
        <v>186</v>
      </c>
      <c r="D49" s="53" t="s">
        <v>62</v>
      </c>
      <c r="E49" s="205" t="s">
        <v>182</v>
      </c>
      <c r="F49" s="123">
        <v>2024</v>
      </c>
      <c r="G49" s="69"/>
      <c r="H49" s="123"/>
      <c r="I49" s="123"/>
      <c r="J49" s="123"/>
      <c r="K49" s="123"/>
      <c r="L49" s="69"/>
      <c r="M49" s="95">
        <v>45488</v>
      </c>
      <c r="N49" s="123"/>
      <c r="O49" s="123"/>
      <c r="P49" s="123"/>
      <c r="Q49" s="56">
        <v>9515188096</v>
      </c>
    </row>
    <row r="50" spans="1:17" ht="20.100000000000001" customHeight="1">
      <c r="A50" s="185">
        <v>58</v>
      </c>
      <c r="B50" s="53">
        <v>30685</v>
      </c>
      <c r="C50" s="55" t="s">
        <v>187</v>
      </c>
      <c r="D50" s="53" t="s">
        <v>62</v>
      </c>
      <c r="E50" s="205" t="s">
        <v>182</v>
      </c>
      <c r="F50" s="123">
        <v>2024</v>
      </c>
      <c r="G50" s="69"/>
      <c r="H50" s="123"/>
      <c r="I50" s="123"/>
      <c r="J50" s="123"/>
      <c r="K50" s="123"/>
      <c r="L50" s="69"/>
      <c r="M50" s="95">
        <v>45489</v>
      </c>
      <c r="N50" s="123"/>
      <c r="O50" s="123"/>
      <c r="P50" s="123"/>
      <c r="Q50" s="56">
        <v>9182032471</v>
      </c>
    </row>
    <row r="51" spans="1:17" ht="20.100000000000001" customHeight="1">
      <c r="A51" s="102">
        <v>59</v>
      </c>
      <c r="B51" s="53">
        <v>30684</v>
      </c>
      <c r="C51" s="55" t="s">
        <v>188</v>
      </c>
      <c r="D51" s="53" t="s">
        <v>62</v>
      </c>
      <c r="E51" s="205" t="s">
        <v>182</v>
      </c>
      <c r="F51" s="123">
        <v>2024</v>
      </c>
      <c r="G51" s="69"/>
      <c r="H51" s="123"/>
      <c r="I51" s="123"/>
      <c r="J51" s="123"/>
      <c r="K51" s="123"/>
      <c r="L51" s="69"/>
      <c r="M51" s="95">
        <v>45488</v>
      </c>
      <c r="N51" s="123"/>
      <c r="O51" s="123"/>
      <c r="P51" s="123"/>
      <c r="Q51" s="56">
        <v>9652448474</v>
      </c>
    </row>
    <row r="52" spans="1:17" ht="20.100000000000001" customHeight="1">
      <c r="B52" s="53">
        <v>2512</v>
      </c>
      <c r="C52" s="54" t="s">
        <v>189</v>
      </c>
      <c r="D52" s="71" t="s">
        <v>68</v>
      </c>
      <c r="E52" s="206"/>
      <c r="F52" s="123"/>
      <c r="G52" s="197"/>
      <c r="H52" s="123"/>
      <c r="I52" s="123"/>
      <c r="J52" s="123"/>
      <c r="K52" s="123"/>
      <c r="L52" s="69"/>
      <c r="M52" s="99">
        <v>45117</v>
      </c>
      <c r="N52" s="123"/>
      <c r="O52" s="123"/>
      <c r="P52" s="123"/>
      <c r="Q52" s="76">
        <v>9292709507</v>
      </c>
    </row>
    <row r="53" spans="1:17" ht="20.100000000000001" customHeight="1">
      <c r="B53" s="53">
        <v>2898</v>
      </c>
      <c r="C53" s="73" t="s">
        <v>190</v>
      </c>
      <c r="D53" s="71" t="s">
        <v>68</v>
      </c>
      <c r="E53" s="205"/>
      <c r="F53" s="123"/>
      <c r="G53" s="197"/>
      <c r="H53" s="123"/>
      <c r="I53" s="123"/>
      <c r="J53" s="123"/>
      <c r="K53" s="123"/>
      <c r="L53" s="69"/>
      <c r="M53" s="96">
        <v>45531</v>
      </c>
      <c r="N53" s="123"/>
      <c r="O53" s="123"/>
      <c r="P53" s="123"/>
      <c r="Q53" s="76">
        <v>9989895732</v>
      </c>
    </row>
    <row r="54" spans="1:17" ht="20.100000000000001" customHeight="1">
      <c r="B54" s="53">
        <v>2921</v>
      </c>
      <c r="C54" s="73" t="s">
        <v>191</v>
      </c>
      <c r="D54" s="71" t="s">
        <v>192</v>
      </c>
      <c r="E54" s="205"/>
      <c r="F54" s="123"/>
      <c r="G54" s="197"/>
      <c r="H54" s="123"/>
      <c r="I54" s="123"/>
      <c r="J54" s="123"/>
      <c r="K54" s="123"/>
      <c r="L54" s="69"/>
      <c r="M54" s="96">
        <v>45580</v>
      </c>
      <c r="N54" s="123"/>
      <c r="O54" s="123"/>
      <c r="P54" s="123"/>
      <c r="Q54" s="76"/>
    </row>
    <row r="55" spans="1:17" ht="20.100000000000001" customHeight="1">
      <c r="B55" s="53">
        <v>2934</v>
      </c>
      <c r="C55" s="73" t="s">
        <v>193</v>
      </c>
      <c r="D55" s="71" t="s">
        <v>68</v>
      </c>
      <c r="E55" s="205"/>
      <c r="F55" s="123"/>
      <c r="G55" s="197"/>
      <c r="H55" s="123"/>
      <c r="I55" s="123"/>
      <c r="J55" s="123"/>
      <c r="K55" s="123"/>
      <c r="L55" s="69"/>
      <c r="M55" s="96">
        <v>45600</v>
      </c>
      <c r="N55" s="123"/>
      <c r="O55" s="123"/>
      <c r="P55" s="123"/>
      <c r="Q55" s="76">
        <v>9440664462</v>
      </c>
    </row>
    <row r="56" spans="1:17" ht="20.100000000000001" customHeight="1">
      <c r="B56" s="53">
        <v>2965</v>
      </c>
      <c r="C56" s="12" t="s">
        <v>194</v>
      </c>
      <c r="D56" s="53" t="s">
        <v>68</v>
      </c>
      <c r="E56" s="205"/>
      <c r="F56" s="123"/>
      <c r="G56" s="197"/>
      <c r="H56" s="123"/>
      <c r="I56" s="123"/>
      <c r="J56" s="123"/>
      <c r="K56" s="123"/>
      <c r="L56" s="69"/>
      <c r="M56" s="96">
        <v>45663</v>
      </c>
      <c r="N56" s="123"/>
      <c r="O56" s="123"/>
      <c r="P56" s="123"/>
      <c r="Q56" s="76">
        <v>9642674547</v>
      </c>
    </row>
    <row r="57" spans="1:17" ht="20.100000000000001" customHeight="1">
      <c r="B57" s="53">
        <v>2977</v>
      </c>
      <c r="C57" s="12" t="s">
        <v>195</v>
      </c>
      <c r="D57" s="53" t="s">
        <v>68</v>
      </c>
      <c r="E57" s="205"/>
      <c r="F57" s="123"/>
      <c r="G57" s="197"/>
      <c r="H57" s="123"/>
      <c r="I57" s="123"/>
      <c r="J57" s="123"/>
      <c r="K57" s="123"/>
      <c r="L57" s="69"/>
      <c r="M57" s="96">
        <v>45675</v>
      </c>
      <c r="N57" s="123"/>
      <c r="O57" s="123"/>
      <c r="P57" s="123"/>
      <c r="Q57" s="76">
        <v>9039466727</v>
      </c>
    </row>
    <row r="58" spans="1:17" ht="20.100000000000001" customHeight="1">
      <c r="B58" s="53">
        <v>2984</v>
      </c>
      <c r="C58" s="78" t="s">
        <v>196</v>
      </c>
      <c r="D58" s="79" t="s">
        <v>68</v>
      </c>
      <c r="E58" s="205"/>
      <c r="F58" s="123"/>
      <c r="G58" s="197"/>
      <c r="H58" s="123"/>
      <c r="I58" s="123"/>
      <c r="J58" s="123"/>
      <c r="K58" s="123"/>
      <c r="L58" s="69"/>
      <c r="M58" s="96">
        <v>45681</v>
      </c>
      <c r="N58" s="123"/>
      <c r="O58" s="123"/>
      <c r="P58" s="123"/>
      <c r="Q58" s="76"/>
    </row>
    <row r="59" spans="1:17" ht="20.100000000000001" customHeight="1">
      <c r="B59" s="53">
        <v>2936</v>
      </c>
      <c r="C59" s="73" t="s">
        <v>197</v>
      </c>
      <c r="D59" s="71" t="s">
        <v>198</v>
      </c>
      <c r="E59" s="205"/>
      <c r="F59" s="123"/>
      <c r="G59" s="197"/>
      <c r="H59" s="123"/>
      <c r="I59" s="123"/>
      <c r="J59" s="123"/>
      <c r="K59" s="123"/>
      <c r="L59" s="69"/>
      <c r="M59" s="96">
        <v>45600</v>
      </c>
      <c r="N59" s="123"/>
      <c r="O59" s="123"/>
      <c r="P59" s="123"/>
      <c r="Q59" s="76">
        <v>8125544167</v>
      </c>
    </row>
    <row r="60" spans="1:17" ht="20.100000000000001" customHeight="1">
      <c r="B60" s="53">
        <v>2950</v>
      </c>
      <c r="C60" s="69" t="s">
        <v>199</v>
      </c>
      <c r="D60" s="71" t="s">
        <v>198</v>
      </c>
      <c r="E60" s="205"/>
      <c r="F60" s="123"/>
      <c r="G60" s="197"/>
      <c r="H60" s="123"/>
      <c r="I60" s="123"/>
      <c r="J60" s="123"/>
      <c r="K60" s="123"/>
      <c r="L60" s="69"/>
      <c r="M60" s="96">
        <v>45638</v>
      </c>
      <c r="N60" s="123"/>
      <c r="O60" s="123"/>
      <c r="P60" s="123"/>
      <c r="Q60" s="76">
        <v>9000024070</v>
      </c>
    </row>
    <row r="61" spans="1:17" ht="20.100000000000001" customHeight="1">
      <c r="B61" s="53">
        <v>2826</v>
      </c>
      <c r="C61" s="55" t="s">
        <v>178</v>
      </c>
      <c r="D61" s="53" t="s">
        <v>62</v>
      </c>
      <c r="E61" s="205"/>
      <c r="F61" s="123"/>
      <c r="G61" s="197"/>
      <c r="H61" s="123"/>
      <c r="I61" s="123"/>
      <c r="J61" s="123"/>
      <c r="K61" s="123"/>
      <c r="L61" s="69"/>
      <c r="M61" s="96">
        <v>45582</v>
      </c>
      <c r="N61" s="123"/>
      <c r="O61" s="123"/>
      <c r="P61" s="123"/>
      <c r="Q61" s="76"/>
    </row>
    <row r="62" spans="1:17" ht="20.100000000000001" customHeight="1">
      <c r="B62" s="53">
        <v>2925</v>
      </c>
      <c r="C62" s="12" t="s">
        <v>200</v>
      </c>
      <c r="D62" s="53" t="s">
        <v>62</v>
      </c>
      <c r="E62" s="205"/>
      <c r="F62" s="123"/>
      <c r="G62" s="197"/>
      <c r="H62" s="123"/>
      <c r="I62" s="123"/>
      <c r="J62" s="123"/>
      <c r="K62" s="123"/>
      <c r="L62" s="69"/>
      <c r="M62" s="96">
        <v>45742</v>
      </c>
      <c r="N62" s="123"/>
      <c r="O62" s="123"/>
      <c r="P62" s="123"/>
      <c r="Q62" s="76"/>
    </row>
    <row r="63" spans="1:17" ht="20.100000000000001" customHeight="1">
      <c r="B63" s="53">
        <v>3038</v>
      </c>
      <c r="C63" s="69" t="s">
        <v>201</v>
      </c>
      <c r="D63" s="53" t="s">
        <v>68</v>
      </c>
      <c r="E63" s="205"/>
      <c r="F63" s="123"/>
      <c r="G63" s="197"/>
      <c r="H63" s="123"/>
      <c r="I63" s="123"/>
      <c r="J63" s="123"/>
      <c r="K63" s="123"/>
      <c r="L63" s="69"/>
      <c r="M63" s="74">
        <v>45742</v>
      </c>
      <c r="N63" s="123"/>
      <c r="O63" s="123"/>
      <c r="P63" s="123"/>
      <c r="Q63" s="76">
        <v>8330983764</v>
      </c>
    </row>
    <row r="64" spans="1:17" ht="20.100000000000001" customHeight="1">
      <c r="B64" s="5">
        <v>3052</v>
      </c>
      <c r="C64" s="12" t="s">
        <v>202</v>
      </c>
      <c r="D64" s="5" t="s">
        <v>203</v>
      </c>
      <c r="E64" s="205"/>
      <c r="F64" s="123"/>
      <c r="G64" s="197"/>
      <c r="H64" s="123"/>
      <c r="I64" s="123"/>
      <c r="J64" s="123"/>
      <c r="K64" s="123"/>
      <c r="L64" s="69"/>
      <c r="M64" s="96">
        <v>45778</v>
      </c>
      <c r="N64" s="123"/>
      <c r="O64" s="123"/>
      <c r="P64" s="123"/>
      <c r="Q64" s="76">
        <v>7331142998</v>
      </c>
    </row>
    <row r="65" spans="2:17" ht="20.100000000000001" customHeight="1">
      <c r="B65" s="5">
        <v>2947</v>
      </c>
      <c r="C65" s="12" t="s">
        <v>204</v>
      </c>
      <c r="D65" s="7" t="s">
        <v>157</v>
      </c>
      <c r="E65" s="205"/>
      <c r="F65" s="123"/>
      <c r="G65" s="197"/>
      <c r="H65" s="123"/>
      <c r="I65" s="123"/>
      <c r="J65" s="123"/>
      <c r="K65" s="123"/>
      <c r="L65" s="69"/>
      <c r="M65" s="96">
        <v>45632</v>
      </c>
      <c r="N65" s="123"/>
      <c r="O65" s="123"/>
      <c r="P65" s="123"/>
      <c r="Q65" s="5">
        <v>9032045840</v>
      </c>
    </row>
    <row r="66" spans="2:17" ht="20.100000000000001" customHeight="1">
      <c r="B66" s="10">
        <v>2852</v>
      </c>
      <c r="C66" s="9" t="s">
        <v>205</v>
      </c>
      <c r="D66" s="7" t="s">
        <v>147</v>
      </c>
      <c r="E66" s="123"/>
      <c r="F66" s="197"/>
      <c r="G66" s="123"/>
      <c r="H66" s="123"/>
      <c r="I66" s="123"/>
      <c r="J66" s="123"/>
      <c r="K66" s="69"/>
      <c r="L66" s="314"/>
      <c r="M66" s="123"/>
      <c r="N66" s="123"/>
      <c r="O66" s="123"/>
      <c r="P66" s="123"/>
      <c r="Q66" s="5">
        <v>7981683088</v>
      </c>
    </row>
    <row r="67" spans="2:17" ht="20.100000000000001" customHeight="1">
      <c r="B67" s="10">
        <v>2862</v>
      </c>
      <c r="C67" s="9" t="s">
        <v>206</v>
      </c>
      <c r="D67" s="7" t="s">
        <v>147</v>
      </c>
      <c r="E67" s="123"/>
      <c r="F67" s="197"/>
      <c r="G67" s="123"/>
      <c r="H67" s="123"/>
      <c r="I67" s="123"/>
      <c r="J67" s="123"/>
      <c r="K67" s="69"/>
      <c r="L67" s="314"/>
      <c r="M67" s="123"/>
      <c r="N67" s="123"/>
      <c r="O67" s="123"/>
      <c r="P67" s="123"/>
      <c r="Q67" s="5">
        <v>9966109473</v>
      </c>
    </row>
    <row r="68" spans="2:17" ht="20.100000000000001" customHeight="1">
      <c r="B68" s="10">
        <v>2932</v>
      </c>
      <c r="C68" s="9" t="s">
        <v>207</v>
      </c>
      <c r="D68" s="7" t="s">
        <v>147</v>
      </c>
      <c r="E68" s="123"/>
      <c r="F68" s="197"/>
      <c r="G68" s="123"/>
      <c r="H68" s="123"/>
      <c r="I68" s="123"/>
      <c r="J68" s="123"/>
      <c r="K68" s="69"/>
      <c r="L68" s="314"/>
      <c r="M68" s="123"/>
      <c r="N68" s="123"/>
      <c r="O68" s="123"/>
      <c r="P68" s="123"/>
      <c r="Q68" s="5">
        <v>7672052900</v>
      </c>
    </row>
    <row r="69" spans="2:17" ht="20.100000000000001" customHeight="1">
      <c r="B69" s="10">
        <v>2935</v>
      </c>
      <c r="C69" s="9" t="s">
        <v>208</v>
      </c>
      <c r="D69" s="7" t="s">
        <v>147</v>
      </c>
      <c r="E69" s="123"/>
      <c r="F69" s="197"/>
      <c r="G69" s="123"/>
      <c r="H69" s="123"/>
      <c r="I69" s="123"/>
      <c r="J69" s="123"/>
      <c r="K69" s="69"/>
      <c r="L69" s="314"/>
      <c r="M69" s="123"/>
      <c r="N69" s="123"/>
      <c r="O69" s="123"/>
      <c r="P69" s="123"/>
      <c r="Q69" s="5">
        <v>9948686959</v>
      </c>
    </row>
    <row r="70" spans="2:17" ht="20.100000000000001" customHeight="1">
      <c r="B70" s="10">
        <v>2940</v>
      </c>
      <c r="C70" s="9" t="s">
        <v>209</v>
      </c>
      <c r="D70" s="7" t="s">
        <v>147</v>
      </c>
      <c r="E70" s="123"/>
      <c r="F70" s="197"/>
      <c r="G70" s="123"/>
      <c r="H70" s="123"/>
      <c r="I70" s="123"/>
      <c r="J70" s="123"/>
      <c r="K70" s="69"/>
      <c r="L70" s="314"/>
      <c r="M70" s="96">
        <v>45610</v>
      </c>
      <c r="N70" s="123"/>
      <c r="O70" s="123"/>
      <c r="P70" s="123"/>
      <c r="Q70" s="5">
        <v>7799595004</v>
      </c>
    </row>
    <row r="71" spans="2:17" ht="20.100000000000001" customHeight="1">
      <c r="B71" s="10">
        <v>2952</v>
      </c>
      <c r="C71" s="12" t="s">
        <v>210</v>
      </c>
      <c r="D71" s="7" t="s">
        <v>147</v>
      </c>
      <c r="E71" s="123"/>
      <c r="F71" s="197"/>
      <c r="G71" s="123"/>
      <c r="H71" s="123"/>
      <c r="I71" s="123"/>
      <c r="J71" s="123"/>
      <c r="K71" s="69"/>
      <c r="L71" s="314"/>
      <c r="M71" s="96">
        <v>45639</v>
      </c>
      <c r="N71" s="123"/>
      <c r="O71" s="123"/>
      <c r="P71" s="123"/>
      <c r="Q71" s="5">
        <v>6302946907</v>
      </c>
    </row>
    <row r="72" spans="2:17" ht="20.100000000000001" customHeight="1">
      <c r="B72" s="10">
        <v>3023</v>
      </c>
      <c r="C72" s="12" t="s">
        <v>211</v>
      </c>
      <c r="D72" s="7" t="s">
        <v>147</v>
      </c>
      <c r="E72" s="123"/>
      <c r="F72" s="197"/>
      <c r="G72" s="123"/>
      <c r="H72" s="123"/>
      <c r="I72" s="123"/>
      <c r="J72" s="123"/>
      <c r="K72" s="69"/>
      <c r="L72" s="314"/>
      <c r="M72" s="99">
        <v>45726</v>
      </c>
      <c r="N72" s="123"/>
      <c r="O72" s="123"/>
      <c r="P72" s="123"/>
      <c r="Q72" s="5"/>
    </row>
    <row r="73" spans="2:17" ht="20.100000000000001" customHeight="1">
      <c r="B73" s="5">
        <v>3032</v>
      </c>
      <c r="C73" s="12" t="s">
        <v>212</v>
      </c>
      <c r="D73" s="7" t="s">
        <v>147</v>
      </c>
      <c r="E73" s="123"/>
      <c r="F73" s="197"/>
      <c r="G73" s="123"/>
      <c r="H73" s="123"/>
      <c r="I73" s="123"/>
      <c r="J73" s="123"/>
      <c r="K73" s="69"/>
      <c r="L73" s="314"/>
      <c r="M73" s="123">
        <v>8341287184</v>
      </c>
      <c r="N73" s="123"/>
      <c r="O73" s="123"/>
      <c r="P73" s="123"/>
      <c r="Q73" s="18">
        <v>8341287184</v>
      </c>
    </row>
    <row r="74" spans="2:17" ht="20.100000000000001" customHeight="1">
      <c r="B74" s="5">
        <v>3033</v>
      </c>
      <c r="C74" s="12" t="s">
        <v>213</v>
      </c>
      <c r="D74" s="7" t="s">
        <v>147</v>
      </c>
      <c r="E74" s="123"/>
      <c r="F74" s="197"/>
      <c r="G74" s="123"/>
      <c r="H74" s="123"/>
      <c r="I74" s="123"/>
      <c r="J74" s="123"/>
      <c r="K74" s="69"/>
      <c r="L74" s="314"/>
      <c r="M74" s="96">
        <v>45733</v>
      </c>
      <c r="N74" s="123"/>
      <c r="O74" s="123"/>
      <c r="P74" s="123"/>
      <c r="Q74" s="18">
        <v>9569464941</v>
      </c>
    </row>
  </sheetData>
  <mergeCells count="1">
    <mergeCell ref="A1:P1"/>
  </mergeCells>
  <conditionalFormatting sqref="B13:B14">
    <cfRule type="duplicateValues" dxfId="47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60"/>
  <sheetViews>
    <sheetView topLeftCell="A7" zoomScale="130" zoomScaleNormal="130" workbookViewId="0">
      <selection activeCell="D28" sqref="D28"/>
    </sheetView>
  </sheetViews>
  <sheetFormatPr defaultColWidth="9" defaultRowHeight="20.100000000000001" customHeight="1"/>
  <cols>
    <col min="1" max="1" width="5.33203125" customWidth="1"/>
    <col min="2" max="2" width="6.33203125" style="106" customWidth="1"/>
    <col min="3" max="3" width="7" style="170" customWidth="1"/>
    <col min="4" max="4" width="30" style="106" customWidth="1"/>
    <col min="5" max="5" width="21.88671875" style="106" customWidth="1"/>
    <col min="6" max="6" width="14.44140625" style="170" customWidth="1"/>
    <col min="7" max="7" width="8.6640625" customWidth="1"/>
    <col min="8" max="8" width="15.88671875" hidden="1" customWidth="1"/>
    <col min="9" max="9" width="11.88671875" hidden="1" customWidth="1"/>
    <col min="10" max="11" width="9" hidden="1" customWidth="1"/>
    <col min="12" max="12" width="20.5546875" hidden="1" customWidth="1"/>
    <col min="13" max="13" width="9" hidden="1" customWidth="1"/>
  </cols>
  <sheetData>
    <row r="1" spans="2:7" ht="20.100000000000001" customHeight="1">
      <c r="B1" s="524" t="s">
        <v>47</v>
      </c>
      <c r="C1" s="524"/>
      <c r="D1" s="524"/>
      <c r="E1" s="524"/>
      <c r="F1" s="524"/>
      <c r="G1" s="524"/>
    </row>
    <row r="2" spans="2:7" ht="18">
      <c r="B2" s="523" t="s">
        <v>214</v>
      </c>
      <c r="C2" s="523"/>
      <c r="D2" s="523"/>
      <c r="E2" s="523"/>
      <c r="F2" s="523"/>
      <c r="G2" s="523"/>
    </row>
    <row r="3" spans="2:7" ht="20.100000000000001" customHeight="1">
      <c r="B3" s="525" t="s">
        <v>215</v>
      </c>
      <c r="C3" s="525"/>
      <c r="D3" s="525"/>
      <c r="E3" s="525"/>
      <c r="F3" s="525"/>
      <c r="G3" s="525"/>
    </row>
    <row r="4" spans="2:7" s="169" customFormat="1" ht="20.100000000000001" customHeight="1">
      <c r="B4" s="2" t="s">
        <v>1</v>
      </c>
      <c r="C4" s="2" t="s">
        <v>216</v>
      </c>
      <c r="D4" s="2" t="s">
        <v>3</v>
      </c>
      <c r="E4" s="2" t="s">
        <v>4</v>
      </c>
      <c r="F4" s="2" t="s">
        <v>8</v>
      </c>
      <c r="G4" s="89"/>
    </row>
    <row r="5" spans="2:7" ht="27" customHeight="1">
      <c r="B5" s="10">
        <v>1</v>
      </c>
      <c r="C5" s="5">
        <v>1251</v>
      </c>
      <c r="D5" s="171" t="s">
        <v>9</v>
      </c>
      <c r="E5" s="172" t="s">
        <v>217</v>
      </c>
      <c r="F5" s="172">
        <v>9840850744</v>
      </c>
      <c r="G5" s="69"/>
    </row>
    <row r="6" spans="2:7" ht="18" customHeight="1">
      <c r="B6" s="5">
        <v>2</v>
      </c>
      <c r="C6" s="5">
        <v>308</v>
      </c>
      <c r="D6" s="171" t="s">
        <v>18</v>
      </c>
      <c r="E6" s="172" t="s">
        <v>19</v>
      </c>
      <c r="F6" s="172">
        <v>9908823834</v>
      </c>
      <c r="G6" s="69"/>
    </row>
    <row r="7" spans="2:7" ht="18" customHeight="1">
      <c r="B7" s="10">
        <v>3</v>
      </c>
      <c r="C7" s="5">
        <v>1182</v>
      </c>
      <c r="D7" s="9" t="s">
        <v>26</v>
      </c>
      <c r="E7" s="10" t="s">
        <v>27</v>
      </c>
      <c r="F7" s="172">
        <v>9676354404</v>
      </c>
      <c r="G7" s="69"/>
    </row>
    <row r="8" spans="2:7" ht="18" customHeight="1">
      <c r="B8" s="5">
        <v>4</v>
      </c>
      <c r="C8" s="5">
        <v>312</v>
      </c>
      <c r="D8" s="171" t="s">
        <v>42</v>
      </c>
      <c r="E8" s="10" t="s">
        <v>27</v>
      </c>
      <c r="F8" s="172">
        <v>8297208489</v>
      </c>
      <c r="G8" s="69"/>
    </row>
    <row r="9" spans="2:7" ht="18" customHeight="1">
      <c r="B9" s="10">
        <v>5</v>
      </c>
      <c r="C9" s="5">
        <v>2090</v>
      </c>
      <c r="D9" s="16" t="s">
        <v>33</v>
      </c>
      <c r="E9" s="10" t="s">
        <v>34</v>
      </c>
      <c r="F9" s="172">
        <v>9441540580</v>
      </c>
      <c r="G9" s="69"/>
    </row>
    <row r="10" spans="2:7" ht="18" customHeight="1">
      <c r="B10" s="5">
        <v>6</v>
      </c>
      <c r="C10" s="5">
        <v>540</v>
      </c>
      <c r="D10" s="171" t="s">
        <v>49</v>
      </c>
      <c r="E10" s="172" t="s">
        <v>34</v>
      </c>
      <c r="F10" s="172">
        <v>9550367172</v>
      </c>
      <c r="G10" s="69"/>
    </row>
    <row r="11" spans="2:7" ht="18" customHeight="1">
      <c r="B11" s="10">
        <v>7</v>
      </c>
      <c r="C11" s="5">
        <v>1181</v>
      </c>
      <c r="D11" s="173" t="s">
        <v>55</v>
      </c>
      <c r="E11" s="172" t="s">
        <v>34</v>
      </c>
      <c r="F11" s="172">
        <v>9493670612</v>
      </c>
      <c r="G11" s="69"/>
    </row>
    <row r="12" spans="2:7" ht="18" customHeight="1">
      <c r="B12" s="5">
        <v>8</v>
      </c>
      <c r="C12" s="5">
        <v>1243</v>
      </c>
      <c r="D12" s="173" t="s">
        <v>58</v>
      </c>
      <c r="E12" s="172" t="s">
        <v>34</v>
      </c>
      <c r="F12" s="172">
        <v>8790166779</v>
      </c>
      <c r="G12" s="69"/>
    </row>
    <row r="13" spans="2:7" ht="18" customHeight="1">
      <c r="B13" s="10">
        <v>9</v>
      </c>
      <c r="C13" s="5">
        <v>2432</v>
      </c>
      <c r="D13" s="16" t="s">
        <v>63</v>
      </c>
      <c r="E13" s="172" t="s">
        <v>34</v>
      </c>
      <c r="F13" s="5">
        <v>7093243607</v>
      </c>
      <c r="G13" s="69"/>
    </row>
    <row r="14" spans="2:7" ht="18" customHeight="1">
      <c r="B14" s="5">
        <v>10</v>
      </c>
      <c r="C14" s="174" t="s">
        <v>66</v>
      </c>
      <c r="D14" s="173" t="s">
        <v>67</v>
      </c>
      <c r="E14" s="175" t="s">
        <v>68</v>
      </c>
      <c r="F14" s="5">
        <v>9614547390</v>
      </c>
      <c r="G14" s="69"/>
    </row>
    <row r="15" spans="2:7" ht="18" customHeight="1">
      <c r="B15" s="10">
        <v>11</v>
      </c>
      <c r="C15" s="5">
        <v>2454</v>
      </c>
      <c r="D15" s="16" t="s">
        <v>218</v>
      </c>
      <c r="E15" s="7" t="s">
        <v>34</v>
      </c>
      <c r="F15" s="5">
        <v>7729990303</v>
      </c>
      <c r="G15" s="69"/>
    </row>
    <row r="16" spans="2:7" ht="18" customHeight="1">
      <c r="B16" s="5">
        <v>12</v>
      </c>
      <c r="C16" s="5">
        <v>2455</v>
      </c>
      <c r="D16" s="16" t="s">
        <v>219</v>
      </c>
      <c r="E16" s="7" t="s">
        <v>34</v>
      </c>
      <c r="F16" s="5">
        <v>8247679894</v>
      </c>
      <c r="G16" s="69"/>
    </row>
    <row r="17" spans="2:7" ht="18" customHeight="1">
      <c r="B17" s="10">
        <v>13</v>
      </c>
      <c r="C17" s="10">
        <v>2488</v>
      </c>
      <c r="D17" s="9" t="s">
        <v>78</v>
      </c>
      <c r="E17" s="7" t="s">
        <v>34</v>
      </c>
      <c r="F17" s="5">
        <v>9475176321</v>
      </c>
      <c r="G17" s="69"/>
    </row>
    <row r="18" spans="2:7" ht="18" customHeight="1">
      <c r="B18" s="5">
        <v>14</v>
      </c>
      <c r="C18" s="5">
        <v>2490</v>
      </c>
      <c r="D18" s="14" t="s">
        <v>83</v>
      </c>
      <c r="E18" s="7" t="s">
        <v>84</v>
      </c>
      <c r="F18" s="5">
        <v>9848129660</v>
      </c>
      <c r="G18" s="69"/>
    </row>
    <row r="19" spans="2:7" ht="18" customHeight="1">
      <c r="B19" s="10">
        <v>15</v>
      </c>
      <c r="C19" s="5">
        <v>2493</v>
      </c>
      <c r="D19" s="14" t="s">
        <v>220</v>
      </c>
      <c r="E19" s="7" t="s">
        <v>157</v>
      </c>
      <c r="F19" s="5">
        <v>8940506036</v>
      </c>
      <c r="G19" s="69"/>
    </row>
    <row r="20" spans="2:7" ht="18" customHeight="1">
      <c r="B20" s="5">
        <v>16</v>
      </c>
      <c r="C20" s="5">
        <v>2499</v>
      </c>
      <c r="D20" t="s">
        <v>221</v>
      </c>
      <c r="E20" s="7" t="s">
        <v>157</v>
      </c>
      <c r="F20" s="53">
        <v>9994476533</v>
      </c>
      <c r="G20" s="69"/>
    </row>
    <row r="21" spans="2:7" ht="18" customHeight="1">
      <c r="B21" s="10">
        <v>17</v>
      </c>
      <c r="C21" s="5">
        <v>2501</v>
      </c>
      <c r="D21" s="14" t="s">
        <v>101</v>
      </c>
      <c r="E21" s="7" t="s">
        <v>157</v>
      </c>
      <c r="F21" s="5">
        <v>9848052474</v>
      </c>
      <c r="G21" s="69"/>
    </row>
    <row r="22" spans="2:7" ht="18" customHeight="1">
      <c r="B22" s="5">
        <v>18</v>
      </c>
      <c r="C22" s="5">
        <v>2502</v>
      </c>
      <c r="D22" s="14" t="s">
        <v>107</v>
      </c>
      <c r="E22" s="7" t="s">
        <v>34</v>
      </c>
      <c r="F22" s="5">
        <v>9600605782</v>
      </c>
      <c r="G22" s="69"/>
    </row>
    <row r="23" spans="2:7" ht="18" customHeight="1">
      <c r="B23" s="10">
        <v>19</v>
      </c>
      <c r="C23" s="5">
        <v>2511</v>
      </c>
      <c r="D23" s="14" t="s">
        <v>109</v>
      </c>
      <c r="E23" s="7" t="s">
        <v>27</v>
      </c>
      <c r="F23" s="5">
        <v>6379772780</v>
      </c>
      <c r="G23" s="69"/>
    </row>
    <row r="24" spans="2:7" ht="18" customHeight="1">
      <c r="B24" s="5">
        <v>20</v>
      </c>
      <c r="C24" s="5">
        <v>2514</v>
      </c>
      <c r="D24" s="14" t="s">
        <v>113</v>
      </c>
      <c r="E24" s="7" t="s">
        <v>34</v>
      </c>
      <c r="F24" s="5">
        <v>9500312191</v>
      </c>
      <c r="G24" s="69"/>
    </row>
    <row r="25" spans="2:7" ht="18" customHeight="1">
      <c r="B25" s="10">
        <v>21</v>
      </c>
      <c r="C25" s="5">
        <v>2517</v>
      </c>
      <c r="D25" s="14" t="s">
        <v>117</v>
      </c>
      <c r="E25" s="7" t="s">
        <v>34</v>
      </c>
      <c r="F25" s="5">
        <v>9381822021</v>
      </c>
      <c r="G25" s="69"/>
    </row>
    <row r="26" spans="2:7" ht="18" customHeight="1">
      <c r="B26" s="5">
        <v>22</v>
      </c>
      <c r="C26" s="5">
        <v>2519</v>
      </c>
      <c r="D26" s="14" t="s">
        <v>120</v>
      </c>
      <c r="E26" s="7" t="s">
        <v>34</v>
      </c>
      <c r="F26" s="10" t="s">
        <v>122</v>
      </c>
      <c r="G26" s="69"/>
    </row>
    <row r="27" spans="2:7" ht="18" customHeight="1">
      <c r="B27" s="10">
        <v>23</v>
      </c>
      <c r="C27" s="5">
        <v>2520</v>
      </c>
      <c r="D27" s="14" t="s">
        <v>123</v>
      </c>
      <c r="E27" s="7" t="s">
        <v>222</v>
      </c>
      <c r="F27" s="5">
        <v>8085865163</v>
      </c>
      <c r="G27" s="69"/>
    </row>
    <row r="28" spans="2:7" ht="18" customHeight="1">
      <c r="B28" s="5">
        <v>24</v>
      </c>
      <c r="C28" s="5">
        <v>2541</v>
      </c>
      <c r="D28" s="16" t="s">
        <v>127</v>
      </c>
      <c r="E28" s="7" t="s">
        <v>34</v>
      </c>
      <c r="F28" s="5">
        <v>7981738522</v>
      </c>
      <c r="G28" s="69"/>
    </row>
    <row r="29" spans="2:7" ht="18" customHeight="1">
      <c r="B29" s="10">
        <v>25</v>
      </c>
      <c r="C29" s="5">
        <v>2637</v>
      </c>
      <c r="D29" s="12" t="s">
        <v>223</v>
      </c>
      <c r="E29" s="7" t="s">
        <v>34</v>
      </c>
      <c r="F29" s="5">
        <v>8876018296</v>
      </c>
      <c r="G29" s="69"/>
    </row>
    <row r="30" spans="2:7" ht="18" customHeight="1">
      <c r="B30" s="5">
        <v>26</v>
      </c>
      <c r="C30" s="5">
        <v>2680</v>
      </c>
      <c r="D30" s="12" t="s">
        <v>224</v>
      </c>
      <c r="E30" s="7" t="s">
        <v>198</v>
      </c>
      <c r="F30" s="5">
        <v>9840972744</v>
      </c>
      <c r="G30" s="69"/>
    </row>
    <row r="31" spans="2:7" ht="18" customHeight="1">
      <c r="B31" s="10">
        <v>27</v>
      </c>
      <c r="C31" s="5">
        <v>2689</v>
      </c>
      <c r="D31" s="12" t="s">
        <v>225</v>
      </c>
      <c r="E31" s="7" t="s">
        <v>226</v>
      </c>
      <c r="F31" s="5">
        <v>7006157037</v>
      </c>
      <c r="G31" s="69"/>
    </row>
    <row r="32" spans="2:7" ht="18" customHeight="1">
      <c r="B32" s="5">
        <v>28</v>
      </c>
      <c r="C32" s="5">
        <v>2693</v>
      </c>
      <c r="D32" s="12" t="s">
        <v>227</v>
      </c>
      <c r="E32" s="7" t="s">
        <v>226</v>
      </c>
      <c r="F32" s="5">
        <v>9094802494</v>
      </c>
      <c r="G32" s="69"/>
    </row>
    <row r="33" spans="2:12" ht="18" customHeight="1">
      <c r="B33" s="10">
        <v>29</v>
      </c>
      <c r="C33" s="5">
        <v>2721</v>
      </c>
      <c r="D33" s="12" t="s">
        <v>156</v>
      </c>
      <c r="E33" s="7" t="s">
        <v>157</v>
      </c>
      <c r="F33" s="5">
        <v>9861564126</v>
      </c>
      <c r="G33" s="69"/>
    </row>
    <row r="34" spans="2:12" ht="18" customHeight="1">
      <c r="B34" s="5">
        <v>30</v>
      </c>
      <c r="C34" s="5">
        <v>2728</v>
      </c>
      <c r="D34" s="12" t="s">
        <v>163</v>
      </c>
      <c r="E34" s="7" t="s">
        <v>226</v>
      </c>
      <c r="F34" s="5">
        <v>7981960066</v>
      </c>
      <c r="G34" s="69"/>
    </row>
    <row r="35" spans="2:12" ht="18" customHeight="1">
      <c r="B35" s="10">
        <v>31</v>
      </c>
      <c r="C35" s="5">
        <v>30410</v>
      </c>
      <c r="D35" s="14" t="s">
        <v>61</v>
      </c>
      <c r="E35" s="7" t="s">
        <v>228</v>
      </c>
      <c r="F35" s="5">
        <v>7995622962</v>
      </c>
      <c r="G35" s="69"/>
      <c r="H35" s="176"/>
      <c r="I35" s="123" t="s">
        <v>229</v>
      </c>
      <c r="J35" s="123" t="s">
        <v>230</v>
      </c>
      <c r="K35" s="123" t="s">
        <v>231</v>
      </c>
      <c r="L35" s="123" t="s">
        <v>232</v>
      </c>
    </row>
    <row r="36" spans="2:12" ht="18" customHeight="1">
      <c r="B36" s="5">
        <v>32</v>
      </c>
      <c r="C36" s="5">
        <v>2512</v>
      </c>
      <c r="D36" s="16" t="s">
        <v>233</v>
      </c>
      <c r="E36" s="5" t="s">
        <v>234</v>
      </c>
      <c r="F36" s="5">
        <v>9292709507</v>
      </c>
      <c r="G36" s="69"/>
      <c r="H36" s="177" t="s">
        <v>235</v>
      </c>
      <c r="I36" s="123" t="s">
        <v>236</v>
      </c>
      <c r="J36" s="123">
        <v>34</v>
      </c>
      <c r="K36" s="123">
        <v>32</v>
      </c>
      <c r="L36" s="123">
        <v>2</v>
      </c>
    </row>
    <row r="37" spans="2:12" ht="18" customHeight="1">
      <c r="B37" s="10">
        <v>33</v>
      </c>
      <c r="C37" s="5">
        <v>633</v>
      </c>
      <c r="D37" s="16" t="s">
        <v>131</v>
      </c>
      <c r="E37" s="5" t="s">
        <v>234</v>
      </c>
      <c r="F37" s="5">
        <v>9494678628</v>
      </c>
      <c r="G37" s="69"/>
      <c r="H37" s="177" t="s">
        <v>237</v>
      </c>
      <c r="I37" s="123" t="s">
        <v>236</v>
      </c>
      <c r="J37" s="123">
        <v>10</v>
      </c>
      <c r="K37" s="123">
        <v>6</v>
      </c>
      <c r="L37" s="123">
        <v>4</v>
      </c>
    </row>
    <row r="38" spans="2:12" ht="18" customHeight="1">
      <c r="B38" s="5">
        <v>34</v>
      </c>
      <c r="C38" s="5">
        <v>2285</v>
      </c>
      <c r="D38" s="16" t="s">
        <v>133</v>
      </c>
      <c r="E38" s="5" t="s">
        <v>234</v>
      </c>
      <c r="F38" s="5">
        <v>9640066261</v>
      </c>
      <c r="G38" s="69"/>
    </row>
    <row r="39" spans="2:12" ht="18" customHeight="1">
      <c r="B39" s="178"/>
      <c r="C39" s="24"/>
      <c r="D39" s="179"/>
      <c r="E39" s="24"/>
      <c r="F39" s="24"/>
    </row>
    <row r="40" spans="2:12" ht="18" customHeight="1"/>
    <row r="41" spans="2:12" ht="18" customHeight="1">
      <c r="B41" s="526" t="s">
        <v>238</v>
      </c>
      <c r="C41" s="526"/>
      <c r="D41" s="526"/>
      <c r="E41" s="526"/>
      <c r="F41" s="526"/>
    </row>
    <row r="42" spans="2:12" ht="18" customHeight="1">
      <c r="B42" s="180" t="s">
        <v>239</v>
      </c>
      <c r="C42" s="66" t="s">
        <v>240</v>
      </c>
      <c r="D42" s="181" t="s">
        <v>241</v>
      </c>
      <c r="E42" s="182" t="s">
        <v>4</v>
      </c>
      <c r="F42" s="66" t="s">
        <v>242</v>
      </c>
    </row>
    <row r="43" spans="2:12" ht="18" customHeight="1">
      <c r="B43" s="183">
        <v>1</v>
      </c>
      <c r="C43" s="76">
        <v>2473</v>
      </c>
      <c r="D43" s="101" t="s">
        <v>243</v>
      </c>
      <c r="E43" s="102" t="s">
        <v>136</v>
      </c>
      <c r="F43" s="76">
        <v>8790500801</v>
      </c>
    </row>
    <row r="44" spans="2:12" ht="18" customHeight="1">
      <c r="B44" s="183">
        <v>2</v>
      </c>
      <c r="C44" s="76">
        <v>2560</v>
      </c>
      <c r="D44" s="101" t="s">
        <v>244</v>
      </c>
      <c r="E44" s="102" t="s">
        <v>147</v>
      </c>
      <c r="F44" s="76">
        <v>9494852495</v>
      </c>
    </row>
    <row r="45" spans="2:12" ht="18" customHeight="1">
      <c r="B45" s="183">
        <v>3</v>
      </c>
      <c r="C45" s="76">
        <v>2564</v>
      </c>
      <c r="D45" s="101" t="s">
        <v>146</v>
      </c>
      <c r="E45" s="102" t="s">
        <v>147</v>
      </c>
      <c r="F45" s="76">
        <v>7675051328</v>
      </c>
    </row>
    <row r="46" spans="2:12" ht="18" customHeight="1">
      <c r="B46" s="183">
        <v>4</v>
      </c>
      <c r="C46" s="76">
        <v>2646</v>
      </c>
      <c r="D46" s="101" t="s">
        <v>245</v>
      </c>
      <c r="E46" s="102" t="s">
        <v>147</v>
      </c>
      <c r="F46" s="76">
        <v>6300035358</v>
      </c>
    </row>
    <row r="47" spans="2:12" ht="18" customHeight="1">
      <c r="B47" s="183">
        <v>5</v>
      </c>
      <c r="C47" s="76">
        <v>2686</v>
      </c>
      <c r="D47" s="101" t="s">
        <v>246</v>
      </c>
      <c r="E47" s="102" t="s">
        <v>147</v>
      </c>
      <c r="F47" s="76">
        <v>8247346900</v>
      </c>
    </row>
    <row r="48" spans="2:12" ht="18" customHeight="1">
      <c r="B48" s="183">
        <v>6</v>
      </c>
      <c r="C48" s="76"/>
      <c r="D48" s="179" t="s">
        <v>247</v>
      </c>
      <c r="E48" s="102" t="s">
        <v>147</v>
      </c>
      <c r="F48" s="76"/>
    </row>
    <row r="49" spans="2:6" ht="18" customHeight="1">
      <c r="B49" s="183">
        <v>7</v>
      </c>
      <c r="C49" s="76">
        <v>629</v>
      </c>
      <c r="D49" s="101" t="s">
        <v>248</v>
      </c>
      <c r="E49" s="102" t="s">
        <v>143</v>
      </c>
      <c r="F49" s="76">
        <v>9502200265</v>
      </c>
    </row>
    <row r="50" spans="2:6" ht="18" customHeight="1">
      <c r="B50" s="183">
        <v>8</v>
      </c>
      <c r="C50" s="76">
        <v>2538</v>
      </c>
      <c r="D50" s="101" t="s">
        <v>249</v>
      </c>
      <c r="E50" s="102" t="s">
        <v>143</v>
      </c>
      <c r="F50" s="76">
        <v>9848526387</v>
      </c>
    </row>
    <row r="51" spans="2:6" ht="18" customHeight="1">
      <c r="B51" s="183">
        <v>9</v>
      </c>
      <c r="C51" s="76">
        <v>2461</v>
      </c>
      <c r="D51" s="101" t="s">
        <v>250</v>
      </c>
      <c r="E51" s="102" t="s">
        <v>251</v>
      </c>
      <c r="F51" s="76">
        <v>973912337</v>
      </c>
    </row>
    <row r="52" spans="2:6" ht="20.100000000000001" customHeight="1">
      <c r="B52" s="183">
        <v>10</v>
      </c>
      <c r="C52" s="76">
        <v>2700</v>
      </c>
      <c r="D52" s="101" t="s">
        <v>252</v>
      </c>
      <c r="E52" s="102" t="s">
        <v>251</v>
      </c>
      <c r="F52" s="76"/>
    </row>
    <row r="54" spans="2:6" ht="20.100000000000001" customHeight="1">
      <c r="C54" s="106"/>
    </row>
    <row r="55" spans="2:6" ht="20.100000000000001" customHeight="1">
      <c r="B55" s="170" t="s">
        <v>253</v>
      </c>
      <c r="C55" s="170">
        <v>30</v>
      </c>
    </row>
    <row r="56" spans="2:6" ht="20.100000000000001" customHeight="1">
      <c r="B56" s="170" t="s">
        <v>234</v>
      </c>
      <c r="C56" s="170">
        <v>4</v>
      </c>
    </row>
    <row r="57" spans="2:6" ht="20.100000000000001" customHeight="1">
      <c r="B57" s="170" t="s">
        <v>254</v>
      </c>
      <c r="C57" s="170">
        <v>6</v>
      </c>
    </row>
    <row r="58" spans="2:6" ht="20.100000000000001" customHeight="1">
      <c r="B58" s="170" t="s">
        <v>255</v>
      </c>
      <c r="C58" s="170">
        <v>2</v>
      </c>
    </row>
    <row r="59" spans="2:6" ht="20.100000000000001" customHeight="1">
      <c r="B59" s="170" t="s">
        <v>256</v>
      </c>
      <c r="C59" s="170">
        <v>2</v>
      </c>
    </row>
    <row r="60" spans="2:6" ht="20.100000000000001" customHeight="1">
      <c r="B60" s="170"/>
      <c r="C60" s="170">
        <f>SUM(C55:C59)</f>
        <v>44</v>
      </c>
    </row>
  </sheetData>
  <mergeCells count="4">
    <mergeCell ref="B1:G1"/>
    <mergeCell ref="B2:G2"/>
    <mergeCell ref="B3:G3"/>
    <mergeCell ref="B41:F41"/>
  </mergeCells>
  <conditionalFormatting sqref="C14:C15">
    <cfRule type="duplicateValues" dxfId="46" priority="2"/>
  </conditionalFormatting>
  <pageMargins left="0.196850393700787" right="0.196850393700787" top="0.196850393700787" bottom="0.196850393700787" header="0.31496062992126" footer="0.31496062992126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8"/>
  <sheetViews>
    <sheetView topLeftCell="A31" workbookViewId="0">
      <selection activeCell="D37" sqref="D37"/>
    </sheetView>
  </sheetViews>
  <sheetFormatPr defaultColWidth="9" defaultRowHeight="20.100000000000001" customHeight="1"/>
  <cols>
    <col min="1" max="1" width="2" customWidth="1"/>
    <col min="2" max="2" width="6.5546875" style="106" customWidth="1"/>
    <col min="3" max="3" width="8.6640625" style="106" customWidth="1"/>
    <col min="4" max="4" width="31" style="106" customWidth="1"/>
    <col min="5" max="5" width="32.6640625" style="106" customWidth="1"/>
    <col min="6" max="6" width="14.33203125" style="106" customWidth="1"/>
  </cols>
  <sheetData>
    <row r="1" spans="2:8" ht="20.100000000000001" customHeight="1">
      <c r="B1" s="514" t="s">
        <v>47</v>
      </c>
      <c r="C1" s="514"/>
      <c r="D1" s="514"/>
      <c r="E1" s="514"/>
      <c r="F1" s="514"/>
    </row>
    <row r="2" spans="2:8" ht="20.100000000000001" customHeight="1">
      <c r="B2" s="514" t="s">
        <v>214</v>
      </c>
      <c r="C2" s="514"/>
      <c r="D2" s="514"/>
      <c r="E2" s="514"/>
      <c r="F2" s="514"/>
    </row>
    <row r="3" spans="2:8" ht="12.75" customHeight="1">
      <c r="B3" s="514"/>
      <c r="C3" s="514"/>
      <c r="D3" s="514"/>
      <c r="E3" s="514"/>
      <c r="F3" s="514"/>
    </row>
    <row r="4" spans="2:8" ht="24.75" customHeight="1">
      <c r="B4" s="3" t="s">
        <v>1</v>
      </c>
      <c r="C4" s="3" t="s">
        <v>216</v>
      </c>
      <c r="D4" s="100" t="s">
        <v>3</v>
      </c>
      <c r="E4" s="3" t="s">
        <v>4</v>
      </c>
      <c r="F4" s="3" t="s">
        <v>8</v>
      </c>
    </row>
    <row r="5" spans="2:8" ht="15">
      <c r="B5" s="53">
        <v>1</v>
      </c>
      <c r="C5" s="53">
        <v>1251</v>
      </c>
      <c r="D5" s="67" t="s">
        <v>9</v>
      </c>
      <c r="E5" s="68" t="s">
        <v>257</v>
      </c>
      <c r="F5" s="68">
        <v>9840850744</v>
      </c>
    </row>
    <row r="6" spans="2:8" ht="18" customHeight="1">
      <c r="B6" s="53">
        <v>2</v>
      </c>
      <c r="C6" s="53">
        <v>308</v>
      </c>
      <c r="D6" s="67" t="s">
        <v>18</v>
      </c>
      <c r="E6" s="68" t="s">
        <v>19</v>
      </c>
      <c r="F6" s="68">
        <v>9908823834</v>
      </c>
    </row>
    <row r="7" spans="2:8" ht="18" customHeight="1">
      <c r="B7" s="53">
        <v>3</v>
      </c>
      <c r="C7" s="53">
        <v>1182</v>
      </c>
      <c r="D7" s="70" t="s">
        <v>26</v>
      </c>
      <c r="E7" s="71" t="s">
        <v>258</v>
      </c>
      <c r="F7" s="68">
        <v>9676354404</v>
      </c>
    </row>
    <row r="8" spans="2:8" ht="18" customHeight="1">
      <c r="B8" s="53">
        <v>4</v>
      </c>
      <c r="C8" s="53">
        <v>2511</v>
      </c>
      <c r="D8" s="55" t="s">
        <v>109</v>
      </c>
      <c r="E8" s="71" t="s">
        <v>180</v>
      </c>
      <c r="F8" s="53">
        <v>6379772780</v>
      </c>
    </row>
    <row r="9" spans="2:8" ht="54" customHeight="1">
      <c r="B9" s="53">
        <v>5</v>
      </c>
      <c r="C9" s="53">
        <v>312</v>
      </c>
      <c r="D9" s="67" t="s">
        <v>42</v>
      </c>
      <c r="E9" s="68" t="s">
        <v>259</v>
      </c>
      <c r="F9" s="68">
        <v>8297208489</v>
      </c>
    </row>
    <row r="10" spans="2:8" ht="15" customHeight="1">
      <c r="B10" s="53">
        <v>6</v>
      </c>
      <c r="C10" s="53">
        <v>2090</v>
      </c>
      <c r="D10" s="54" t="s">
        <v>33</v>
      </c>
      <c r="E10" s="71" t="s">
        <v>180</v>
      </c>
      <c r="F10" s="68">
        <v>9441540580</v>
      </c>
    </row>
    <row r="11" spans="2:8" ht="15" customHeight="1">
      <c r="B11" s="53">
        <v>7</v>
      </c>
      <c r="C11" s="53">
        <v>2827</v>
      </c>
      <c r="D11" s="168" t="s">
        <v>179</v>
      </c>
      <c r="E11" s="71" t="s">
        <v>180</v>
      </c>
      <c r="F11" s="68">
        <v>8085575111</v>
      </c>
    </row>
    <row r="12" spans="2:8" ht="15" customHeight="1">
      <c r="B12" s="53">
        <v>8</v>
      </c>
      <c r="C12" s="53">
        <v>2490</v>
      </c>
      <c r="D12" s="55" t="s">
        <v>83</v>
      </c>
      <c r="E12" s="68" t="s">
        <v>157</v>
      </c>
      <c r="F12" s="53">
        <v>9848129660</v>
      </c>
    </row>
    <row r="13" spans="2:8" ht="18" customHeight="1">
      <c r="B13" s="53">
        <v>9</v>
      </c>
      <c r="C13" s="53">
        <v>2493</v>
      </c>
      <c r="D13" s="55" t="s">
        <v>220</v>
      </c>
      <c r="E13" s="68" t="s">
        <v>157</v>
      </c>
      <c r="F13" s="53">
        <v>8940506036</v>
      </c>
      <c r="H13" s="81"/>
    </row>
    <row r="14" spans="2:8" ht="18" customHeight="1">
      <c r="B14" s="53">
        <v>10</v>
      </c>
      <c r="C14" s="53">
        <v>2499</v>
      </c>
      <c r="D14" t="s">
        <v>221</v>
      </c>
      <c r="E14" s="68" t="s">
        <v>157</v>
      </c>
      <c r="F14" s="53">
        <v>9994476533</v>
      </c>
      <c r="H14" s="81"/>
    </row>
    <row r="15" spans="2:8" ht="18" customHeight="1">
      <c r="B15" s="53">
        <v>11</v>
      </c>
      <c r="C15" s="53">
        <v>2501</v>
      </c>
      <c r="D15" s="55" t="s">
        <v>101</v>
      </c>
      <c r="E15" s="68" t="s">
        <v>157</v>
      </c>
      <c r="F15" s="53">
        <v>9848052474</v>
      </c>
      <c r="H15" s="81"/>
    </row>
    <row r="16" spans="2:8" ht="18" customHeight="1">
      <c r="B16" s="53">
        <v>12</v>
      </c>
      <c r="C16" s="53">
        <v>2763</v>
      </c>
      <c r="D16" s="54" t="s">
        <v>260</v>
      </c>
      <c r="E16" s="68" t="s">
        <v>157</v>
      </c>
      <c r="F16" s="53">
        <v>9182759154</v>
      </c>
      <c r="H16" s="81"/>
    </row>
    <row r="17" spans="2:8" ht="18" customHeight="1">
      <c r="B17" s="53">
        <v>13</v>
      </c>
      <c r="C17" s="53">
        <v>2721</v>
      </c>
      <c r="D17" s="54" t="s">
        <v>156</v>
      </c>
      <c r="E17" s="68" t="s">
        <v>157</v>
      </c>
      <c r="F17" s="53">
        <v>9094802495</v>
      </c>
      <c r="H17" s="81"/>
    </row>
    <row r="18" spans="2:8" ht="18" customHeight="1">
      <c r="B18" s="53">
        <v>14</v>
      </c>
      <c r="C18" s="53">
        <v>540</v>
      </c>
      <c r="D18" s="67" t="s">
        <v>49</v>
      </c>
      <c r="E18" s="71" t="s">
        <v>68</v>
      </c>
      <c r="F18" s="68">
        <v>9550367172</v>
      </c>
    </row>
    <row r="19" spans="2:8" ht="18" customHeight="1">
      <c r="B19" s="53">
        <v>15</v>
      </c>
      <c r="C19" s="53">
        <v>1181</v>
      </c>
      <c r="D19" s="70" t="s">
        <v>55</v>
      </c>
      <c r="E19" s="71" t="s">
        <v>68</v>
      </c>
      <c r="F19" s="68">
        <v>9493670612</v>
      </c>
    </row>
    <row r="20" spans="2:8" ht="18" customHeight="1">
      <c r="B20" s="53">
        <v>16</v>
      </c>
      <c r="C20" s="53">
        <v>1243</v>
      </c>
      <c r="D20" s="70" t="s">
        <v>58</v>
      </c>
      <c r="E20" s="71" t="s">
        <v>68</v>
      </c>
      <c r="F20" s="68">
        <v>8790166779</v>
      </c>
    </row>
    <row r="21" spans="2:8" ht="18" customHeight="1">
      <c r="B21" s="53">
        <v>17</v>
      </c>
      <c r="C21" s="53">
        <v>2432</v>
      </c>
      <c r="D21" s="54" t="s">
        <v>63</v>
      </c>
      <c r="E21" s="71" t="s">
        <v>68</v>
      </c>
      <c r="F21" s="53">
        <v>7093243607</v>
      </c>
    </row>
    <row r="22" spans="2:8" ht="18" customHeight="1">
      <c r="B22" s="53">
        <v>18</v>
      </c>
      <c r="C22" s="75" t="s">
        <v>66</v>
      </c>
      <c r="D22" s="70" t="s">
        <v>67</v>
      </c>
      <c r="E22" s="71" t="s">
        <v>68</v>
      </c>
      <c r="F22" s="53">
        <v>9614547390</v>
      </c>
    </row>
    <row r="23" spans="2:8" ht="18" customHeight="1">
      <c r="B23" s="53">
        <v>19</v>
      </c>
      <c r="C23" s="53">
        <v>2454</v>
      </c>
      <c r="D23" s="54" t="s">
        <v>218</v>
      </c>
      <c r="E23" s="71" t="s">
        <v>68</v>
      </c>
      <c r="F23" s="53">
        <v>7729990303</v>
      </c>
    </row>
    <row r="24" spans="2:8" ht="18" customHeight="1">
      <c r="B24" s="53">
        <v>20</v>
      </c>
      <c r="C24" s="111">
        <v>2488</v>
      </c>
      <c r="D24" s="153" t="s">
        <v>78</v>
      </c>
      <c r="E24" s="111" t="s">
        <v>68</v>
      </c>
      <c r="F24" s="79">
        <v>9475176321</v>
      </c>
    </row>
    <row r="25" spans="2:8" ht="18" customHeight="1">
      <c r="B25" s="53">
        <v>21</v>
      </c>
      <c r="C25" s="53">
        <v>2502</v>
      </c>
      <c r="D25" s="55" t="s">
        <v>107</v>
      </c>
      <c r="E25" s="71" t="s">
        <v>68</v>
      </c>
      <c r="F25" s="53">
        <v>9600605782</v>
      </c>
    </row>
    <row r="26" spans="2:8" ht="18" customHeight="1">
      <c r="B26" s="53">
        <v>22</v>
      </c>
      <c r="C26" s="53">
        <v>2514</v>
      </c>
      <c r="D26" s="55" t="s">
        <v>113</v>
      </c>
      <c r="E26" s="71" t="s">
        <v>68</v>
      </c>
      <c r="F26" s="53">
        <v>9500312191</v>
      </c>
    </row>
    <row r="27" spans="2:8" ht="18" customHeight="1">
      <c r="B27" s="53">
        <v>23</v>
      </c>
      <c r="C27" s="53">
        <v>2519</v>
      </c>
      <c r="D27" s="55" t="s">
        <v>120</v>
      </c>
      <c r="E27" s="71" t="s">
        <v>68</v>
      </c>
      <c r="F27" s="71">
        <v>8978116834</v>
      </c>
    </row>
    <row r="28" spans="2:8" ht="18" customHeight="1">
      <c r="B28" s="53">
        <v>24</v>
      </c>
      <c r="C28" s="79">
        <v>2520</v>
      </c>
      <c r="D28" s="110" t="s">
        <v>123</v>
      </c>
      <c r="E28" s="111" t="s">
        <v>68</v>
      </c>
      <c r="F28" s="79">
        <v>8085865163</v>
      </c>
    </row>
    <row r="29" spans="2:8" ht="18" customHeight="1">
      <c r="B29" s="53">
        <v>25</v>
      </c>
      <c r="C29" s="53">
        <v>2541</v>
      </c>
      <c r="D29" s="54" t="s">
        <v>127</v>
      </c>
      <c r="E29" s="71" t="s">
        <v>68</v>
      </c>
      <c r="F29" s="53">
        <v>7981738522</v>
      </c>
    </row>
    <row r="30" spans="2:8" ht="18" customHeight="1">
      <c r="B30" s="53">
        <v>26</v>
      </c>
      <c r="C30" s="71">
        <v>2637</v>
      </c>
      <c r="D30" s="70" t="s">
        <v>261</v>
      </c>
      <c r="E30" s="71" t="s">
        <v>68</v>
      </c>
      <c r="F30" s="53">
        <v>8876018296</v>
      </c>
    </row>
    <row r="31" spans="2:8" ht="18" customHeight="1">
      <c r="B31" s="53">
        <v>27</v>
      </c>
      <c r="C31" s="71">
        <v>2689</v>
      </c>
      <c r="D31" s="70" t="s">
        <v>154</v>
      </c>
      <c r="E31" s="71" t="s">
        <v>68</v>
      </c>
      <c r="F31" s="53">
        <v>9668112717</v>
      </c>
    </row>
    <row r="32" spans="2:8" ht="18" customHeight="1">
      <c r="B32" s="53">
        <v>28</v>
      </c>
      <c r="C32" s="53">
        <v>2693</v>
      </c>
      <c r="D32" s="55" t="s">
        <v>227</v>
      </c>
      <c r="E32" s="71" t="s">
        <v>68</v>
      </c>
      <c r="F32" s="53">
        <v>9094802494</v>
      </c>
    </row>
    <row r="33" spans="2:6" ht="18" customHeight="1">
      <c r="B33" s="53">
        <v>29</v>
      </c>
      <c r="C33" s="71">
        <v>2680</v>
      </c>
      <c r="D33" s="70" t="s">
        <v>262</v>
      </c>
      <c r="E33" s="68" t="s">
        <v>198</v>
      </c>
      <c r="F33" s="53">
        <v>9840972744</v>
      </c>
    </row>
    <row r="34" spans="2:6" ht="18" customHeight="1">
      <c r="B34" s="53">
        <v>30</v>
      </c>
      <c r="C34" s="53">
        <v>2728</v>
      </c>
      <c r="D34" s="55" t="s">
        <v>163</v>
      </c>
      <c r="E34" s="71" t="s">
        <v>68</v>
      </c>
      <c r="F34" s="53">
        <v>7981960066</v>
      </c>
    </row>
    <row r="35" spans="2:6" ht="18" customHeight="1">
      <c r="B35" s="53">
        <v>31</v>
      </c>
      <c r="C35" s="53">
        <v>2765</v>
      </c>
      <c r="D35" s="54" t="s">
        <v>263</v>
      </c>
      <c r="E35" s="71" t="s">
        <v>68</v>
      </c>
      <c r="F35" s="53">
        <v>9788682940</v>
      </c>
    </row>
    <row r="36" spans="2:6" ht="18" customHeight="1">
      <c r="B36" s="53">
        <v>32</v>
      </c>
      <c r="C36" s="53">
        <v>2812</v>
      </c>
      <c r="D36" s="139" t="s">
        <v>175</v>
      </c>
      <c r="E36" s="71" t="s">
        <v>68</v>
      </c>
      <c r="F36" s="53">
        <v>7731063177</v>
      </c>
    </row>
    <row r="37" spans="2:6" ht="18" customHeight="1">
      <c r="B37" s="53">
        <v>33</v>
      </c>
      <c r="C37" s="53">
        <v>2814</v>
      </c>
      <c r="D37" s="139" t="s">
        <v>176</v>
      </c>
      <c r="E37" s="71" t="s">
        <v>68</v>
      </c>
      <c r="F37" s="53">
        <v>8056033643</v>
      </c>
    </row>
    <row r="38" spans="2:6" ht="18" customHeight="1">
      <c r="B38" s="53">
        <v>34</v>
      </c>
      <c r="C38" s="53">
        <v>2819</v>
      </c>
      <c r="D38" s="168" t="s">
        <v>264</v>
      </c>
      <c r="E38" s="71" t="s">
        <v>68</v>
      </c>
      <c r="F38" s="53">
        <v>9315797477</v>
      </c>
    </row>
    <row r="39" spans="2:6" ht="18" customHeight="1"/>
    <row r="40" spans="2:6" ht="18" customHeight="1"/>
    <row r="41" spans="2:6" ht="12" customHeight="1"/>
    <row r="42" spans="2:6" ht="20.100000000000001" customHeight="1">
      <c r="B42" s="71">
        <v>1</v>
      </c>
      <c r="C42" s="53">
        <v>30410</v>
      </c>
      <c r="D42" s="55" t="s">
        <v>61</v>
      </c>
      <c r="E42" s="68" t="s">
        <v>228</v>
      </c>
      <c r="F42" s="53">
        <v>7995622962</v>
      </c>
    </row>
    <row r="43" spans="2:6" ht="20.100000000000001" customHeight="1">
      <c r="B43" s="53">
        <v>2</v>
      </c>
      <c r="C43" s="53">
        <v>2285</v>
      </c>
      <c r="D43" s="54" t="s">
        <v>233</v>
      </c>
      <c r="E43" s="53" t="s">
        <v>62</v>
      </c>
      <c r="F43" s="53">
        <v>9292709507</v>
      </c>
    </row>
    <row r="44" spans="2:6" ht="20.100000000000001" customHeight="1">
      <c r="B44" s="71">
        <v>3</v>
      </c>
      <c r="C44" s="53">
        <v>633</v>
      </c>
      <c r="D44" s="54" t="s">
        <v>131</v>
      </c>
      <c r="E44" s="53" t="s">
        <v>265</v>
      </c>
      <c r="F44" s="53">
        <v>9494678628</v>
      </c>
    </row>
    <row r="45" spans="2:6" ht="20.100000000000001" customHeight="1">
      <c r="B45" s="53">
        <v>4</v>
      </c>
      <c r="C45" s="53">
        <v>2285</v>
      </c>
      <c r="D45" s="54" t="s">
        <v>133</v>
      </c>
      <c r="E45" s="53" t="s">
        <v>265</v>
      </c>
      <c r="F45" s="53">
        <v>9640066261</v>
      </c>
    </row>
    <row r="46" spans="2:6" ht="24.75" customHeight="1">
      <c r="B46" s="5">
        <v>5</v>
      </c>
      <c r="C46" s="5">
        <v>30674</v>
      </c>
      <c r="D46" s="14" t="s">
        <v>266</v>
      </c>
      <c r="E46" s="53" t="s">
        <v>62</v>
      </c>
      <c r="F46" s="55">
        <v>8919354267</v>
      </c>
    </row>
    <row r="47" spans="2:6" ht="18.75" customHeight="1">
      <c r="B47" s="53">
        <v>6</v>
      </c>
      <c r="C47" s="53"/>
      <c r="D47" s="168" t="s">
        <v>178</v>
      </c>
      <c r="E47" s="53" t="s">
        <v>62</v>
      </c>
      <c r="F47" s="53">
        <v>9542588470</v>
      </c>
    </row>
    <row r="48" spans="2:6" ht="14.25" customHeight="1">
      <c r="B48" s="33"/>
      <c r="C48" s="33"/>
      <c r="D48" s="33"/>
      <c r="E48" s="33"/>
      <c r="F48" s="33"/>
    </row>
    <row r="49" spans="2:6" ht="35.25" customHeight="1">
      <c r="B49" s="33"/>
      <c r="C49" s="33"/>
      <c r="D49" s="33"/>
      <c r="E49" s="33"/>
      <c r="F49" s="33"/>
    </row>
    <row r="50" spans="2:6" ht="26.25" customHeight="1">
      <c r="B50" s="53">
        <v>1</v>
      </c>
      <c r="C50" s="53">
        <v>2473</v>
      </c>
      <c r="D50" s="55" t="s">
        <v>243</v>
      </c>
      <c r="E50" s="5" t="s">
        <v>147</v>
      </c>
      <c r="F50" s="53">
        <v>8790500801</v>
      </c>
    </row>
    <row r="51" spans="2:6" ht="18" customHeight="1">
      <c r="B51" s="53">
        <v>2</v>
      </c>
      <c r="C51" s="53">
        <v>2564</v>
      </c>
      <c r="D51" s="14" t="s">
        <v>146</v>
      </c>
      <c r="E51" s="5" t="s">
        <v>147</v>
      </c>
      <c r="F51" s="5">
        <v>7675051328</v>
      </c>
    </row>
    <row r="52" spans="2:6" ht="18" customHeight="1">
      <c r="B52" s="53">
        <v>3</v>
      </c>
      <c r="C52" s="10">
        <v>2646</v>
      </c>
      <c r="D52" s="9" t="s">
        <v>245</v>
      </c>
      <c r="E52" s="7" t="s">
        <v>267</v>
      </c>
      <c r="F52" s="5">
        <v>6300035358</v>
      </c>
    </row>
    <row r="53" spans="2:6" ht="18" customHeight="1">
      <c r="B53" s="53">
        <v>4</v>
      </c>
      <c r="C53" s="10">
        <v>2686</v>
      </c>
      <c r="D53" s="9" t="s">
        <v>268</v>
      </c>
      <c r="E53" s="7" t="s">
        <v>267</v>
      </c>
      <c r="F53" s="5">
        <v>8247346900</v>
      </c>
    </row>
    <row r="54" spans="2:6" ht="18" customHeight="1">
      <c r="B54" s="53">
        <v>5</v>
      </c>
      <c r="C54" s="10">
        <v>2614</v>
      </c>
      <c r="D54" s="9" t="s">
        <v>269</v>
      </c>
      <c r="E54" s="7" t="s">
        <v>147</v>
      </c>
      <c r="F54" s="5">
        <v>9581958972</v>
      </c>
    </row>
    <row r="55" spans="2:6" ht="18" customHeight="1">
      <c r="B55" s="53">
        <v>6</v>
      </c>
      <c r="C55" s="5">
        <v>629</v>
      </c>
      <c r="D55" s="16" t="s">
        <v>248</v>
      </c>
      <c r="E55" s="5" t="s">
        <v>270</v>
      </c>
      <c r="F55" s="53">
        <v>9502200265</v>
      </c>
    </row>
    <row r="56" spans="2:6" ht="18" customHeight="1">
      <c r="B56" s="53">
        <v>7</v>
      </c>
      <c r="C56" s="5">
        <v>2538</v>
      </c>
      <c r="D56" s="14" t="s">
        <v>271</v>
      </c>
      <c r="E56" s="5" t="s">
        <v>270</v>
      </c>
      <c r="F56" s="5">
        <v>9848526387</v>
      </c>
    </row>
    <row r="57" spans="2:6" ht="18" customHeight="1">
      <c r="B57" s="53">
        <v>8</v>
      </c>
      <c r="C57" s="53">
        <v>2613</v>
      </c>
      <c r="D57" s="54" t="s">
        <v>272</v>
      </c>
      <c r="E57" s="5" t="s">
        <v>251</v>
      </c>
      <c r="F57" s="53">
        <v>973912337</v>
      </c>
    </row>
    <row r="58" spans="2:6" ht="18" customHeight="1">
      <c r="B58" s="53">
        <v>9</v>
      </c>
      <c r="C58" s="53">
        <v>2700</v>
      </c>
      <c r="D58" s="54" t="s">
        <v>273</v>
      </c>
      <c r="E58" s="5" t="s">
        <v>251</v>
      </c>
      <c r="F58" s="53"/>
    </row>
  </sheetData>
  <mergeCells count="3">
    <mergeCell ref="B1:F1"/>
    <mergeCell ref="B2:F2"/>
    <mergeCell ref="B3:F3"/>
  </mergeCells>
  <conditionalFormatting sqref="C19:C20">
    <cfRule type="duplicateValues" dxfId="45" priority="2"/>
  </conditionalFormatting>
  <conditionalFormatting sqref="C22:C23">
    <cfRule type="duplicateValues" dxfId="44" priority="1"/>
  </conditionalFormatting>
  <pageMargins left="0.70866141732283505" right="0.70866141732283505" top="0.39370078740157499" bottom="0.39370078740157499" header="0.31496062992126" footer="0.31496062992126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8"/>
  <sheetViews>
    <sheetView topLeftCell="A52" workbookViewId="0">
      <selection activeCell="B17" sqref="B17:F17"/>
    </sheetView>
  </sheetViews>
  <sheetFormatPr defaultColWidth="9.109375" defaultRowHeight="15"/>
  <cols>
    <col min="1" max="1" width="6.33203125" style="84" customWidth="1"/>
    <col min="2" max="2" width="11.88671875" style="84" customWidth="1"/>
    <col min="3" max="3" width="31.5546875" style="84" customWidth="1"/>
    <col min="4" max="4" width="20.5546875" style="84" customWidth="1"/>
    <col min="5" max="5" width="18.109375" style="81" customWidth="1"/>
    <col min="6" max="6" width="17" style="81" customWidth="1"/>
    <col min="7" max="7" width="15.33203125" style="87" customWidth="1"/>
    <col min="8" max="16384" width="9.109375" style="87"/>
  </cols>
  <sheetData>
    <row r="1" spans="1:6" ht="29.25" customHeight="1">
      <c r="A1" s="514" t="s">
        <v>47</v>
      </c>
      <c r="B1" s="514"/>
      <c r="C1" s="514"/>
      <c r="D1" s="514"/>
      <c r="E1" s="514"/>
      <c r="F1" s="514"/>
    </row>
    <row r="2" spans="1:6" ht="25.5" customHeight="1">
      <c r="A2" s="514" t="s">
        <v>274</v>
      </c>
      <c r="B2" s="514"/>
      <c r="C2" s="514"/>
      <c r="D2" s="514"/>
      <c r="E2" s="514"/>
      <c r="F2" s="514"/>
    </row>
    <row r="3" spans="1:6" ht="22.5" customHeight="1">
      <c r="A3" s="518" t="s">
        <v>275</v>
      </c>
      <c r="B3" s="518"/>
      <c r="C3" s="518"/>
      <c r="D3" s="518"/>
      <c r="E3" s="518"/>
      <c r="F3" s="518"/>
    </row>
    <row r="4" spans="1:6" ht="36" customHeight="1">
      <c r="A4" s="3" t="s">
        <v>1</v>
      </c>
      <c r="B4" s="3" t="s">
        <v>216</v>
      </c>
      <c r="C4" s="100" t="s">
        <v>3</v>
      </c>
      <c r="D4" s="3" t="s">
        <v>4</v>
      </c>
      <c r="E4" s="3" t="s">
        <v>8</v>
      </c>
      <c r="F4" s="3" t="s">
        <v>276</v>
      </c>
    </row>
    <row r="5" spans="1:6" ht="19.5" customHeight="1">
      <c r="A5" s="53">
        <v>1</v>
      </c>
      <c r="B5" s="53">
        <v>1251</v>
      </c>
      <c r="C5" s="67" t="s">
        <v>9</v>
      </c>
      <c r="D5" s="68" t="s">
        <v>257</v>
      </c>
      <c r="E5" s="68">
        <v>9840850744</v>
      </c>
      <c r="F5" s="53"/>
    </row>
    <row r="6" spans="1:6" ht="19.5" customHeight="1">
      <c r="A6" s="53">
        <v>2</v>
      </c>
      <c r="B6" s="53">
        <v>308</v>
      </c>
      <c r="C6" s="67" t="s">
        <v>277</v>
      </c>
      <c r="D6" s="68" t="s">
        <v>19</v>
      </c>
      <c r="E6" s="68">
        <v>9908823834</v>
      </c>
      <c r="F6" s="53"/>
    </row>
    <row r="7" spans="1:6" ht="19.5" customHeight="1">
      <c r="A7" s="53">
        <v>3</v>
      </c>
      <c r="B7" s="53">
        <v>1182</v>
      </c>
      <c r="C7" s="70" t="s">
        <v>26</v>
      </c>
      <c r="D7" s="71" t="s">
        <v>258</v>
      </c>
      <c r="E7" s="68">
        <v>9676354404</v>
      </c>
      <c r="F7" s="53"/>
    </row>
    <row r="8" spans="1:6" ht="19.5" customHeight="1">
      <c r="A8" s="53">
        <v>4</v>
      </c>
      <c r="B8" s="53">
        <v>2511</v>
      </c>
      <c r="C8" s="55" t="s">
        <v>109</v>
      </c>
      <c r="D8" s="71" t="s">
        <v>180</v>
      </c>
      <c r="E8" s="53">
        <v>6379772780</v>
      </c>
      <c r="F8" s="53"/>
    </row>
    <row r="9" spans="1:6" ht="27.75" customHeight="1">
      <c r="A9" s="53">
        <v>5</v>
      </c>
      <c r="B9" s="53">
        <v>312</v>
      </c>
      <c r="C9" s="67" t="s">
        <v>42</v>
      </c>
      <c r="D9" s="68" t="s">
        <v>278</v>
      </c>
      <c r="E9" s="68">
        <v>8297208489</v>
      </c>
      <c r="F9" s="53"/>
    </row>
    <row r="10" spans="1:6" ht="19.5" customHeight="1">
      <c r="A10" s="53">
        <v>6</v>
      </c>
      <c r="B10" s="53">
        <v>2090</v>
      </c>
      <c r="C10" s="54" t="s">
        <v>33</v>
      </c>
      <c r="D10" s="71" t="s">
        <v>180</v>
      </c>
      <c r="E10" s="68">
        <v>9441540580</v>
      </c>
      <c r="F10" s="53"/>
    </row>
    <row r="11" spans="1:6" ht="19.5" customHeight="1">
      <c r="A11" s="53">
        <v>7</v>
      </c>
      <c r="B11" s="53">
        <v>2827</v>
      </c>
      <c r="C11" s="55" t="s">
        <v>279</v>
      </c>
      <c r="D11" s="71" t="s">
        <v>180</v>
      </c>
      <c r="E11" s="68">
        <v>8085575111</v>
      </c>
      <c r="F11" s="53"/>
    </row>
    <row r="12" spans="1:6" ht="19.5" customHeight="1">
      <c r="A12" s="53">
        <v>8</v>
      </c>
      <c r="B12" s="53">
        <v>2490</v>
      </c>
      <c r="C12" s="55" t="s">
        <v>83</v>
      </c>
      <c r="D12" s="68" t="s">
        <v>157</v>
      </c>
      <c r="E12" s="53">
        <v>9848129660</v>
      </c>
      <c r="F12" s="53"/>
    </row>
    <row r="13" spans="1:6" ht="19.5" customHeight="1">
      <c r="A13" s="53">
        <v>9</v>
      </c>
      <c r="B13" s="53">
        <v>2493</v>
      </c>
      <c r="C13" s="55" t="s">
        <v>220</v>
      </c>
      <c r="D13" s="68" t="s">
        <v>157</v>
      </c>
      <c r="E13" s="53">
        <v>8940506036</v>
      </c>
      <c r="F13" s="53"/>
    </row>
    <row r="14" spans="1:6" ht="19.5" customHeight="1">
      <c r="A14" s="53">
        <v>10</v>
      </c>
      <c r="B14" s="53">
        <v>2499</v>
      </c>
      <c r="C14" t="s">
        <v>221</v>
      </c>
      <c r="D14" s="68" t="s">
        <v>157</v>
      </c>
      <c r="E14" s="53">
        <v>9994476533</v>
      </c>
      <c r="F14" s="53"/>
    </row>
    <row r="15" spans="1:6" ht="19.5" customHeight="1">
      <c r="A15" s="53">
        <v>11</v>
      </c>
      <c r="B15" s="53">
        <v>2501</v>
      </c>
      <c r="C15" s="55" t="s">
        <v>101</v>
      </c>
      <c r="D15" s="68" t="s">
        <v>157</v>
      </c>
      <c r="E15" s="53">
        <v>9848052474</v>
      </c>
      <c r="F15" s="53"/>
    </row>
    <row r="16" spans="1:6" ht="19.5" customHeight="1">
      <c r="A16" s="53">
        <v>12</v>
      </c>
      <c r="B16" s="53">
        <v>2541</v>
      </c>
      <c r="C16" s="54" t="s">
        <v>127</v>
      </c>
      <c r="D16" s="68" t="s">
        <v>157</v>
      </c>
      <c r="E16" s="53"/>
      <c r="F16" s="53"/>
    </row>
    <row r="17" spans="1:6" ht="19.5" customHeight="1">
      <c r="A17" s="53">
        <v>13</v>
      </c>
      <c r="B17" s="79">
        <v>2763</v>
      </c>
      <c r="C17" s="156" t="s">
        <v>260</v>
      </c>
      <c r="D17" s="157" t="s">
        <v>157</v>
      </c>
      <c r="E17" s="79">
        <v>9182759154</v>
      </c>
      <c r="F17" s="53"/>
    </row>
    <row r="18" spans="1:6" ht="19.5" customHeight="1">
      <c r="A18" s="53">
        <v>14</v>
      </c>
      <c r="B18" s="53">
        <v>2721</v>
      </c>
      <c r="C18" s="54" t="s">
        <v>156</v>
      </c>
      <c r="D18" s="68" t="s">
        <v>157</v>
      </c>
      <c r="E18" s="53">
        <v>9094802495</v>
      </c>
      <c r="F18" s="53"/>
    </row>
    <row r="19" spans="1:6" ht="19.5" customHeight="1">
      <c r="A19" s="53">
        <v>15</v>
      </c>
      <c r="B19" s="53">
        <v>540</v>
      </c>
      <c r="C19" s="67" t="s">
        <v>49</v>
      </c>
      <c r="D19" s="71" t="s">
        <v>68</v>
      </c>
      <c r="E19" s="68">
        <v>9550367172</v>
      </c>
      <c r="F19" s="53"/>
    </row>
    <row r="20" spans="1:6" ht="19.5" customHeight="1">
      <c r="A20" s="53">
        <v>16</v>
      </c>
      <c r="B20" s="53">
        <v>1181</v>
      </c>
      <c r="C20" s="70" t="s">
        <v>55</v>
      </c>
      <c r="D20" s="71" t="s">
        <v>68</v>
      </c>
      <c r="E20" s="68">
        <v>9493670612</v>
      </c>
      <c r="F20" s="53"/>
    </row>
    <row r="21" spans="1:6" ht="19.5" customHeight="1">
      <c r="A21" s="53">
        <v>17</v>
      </c>
      <c r="B21" s="53">
        <v>1243</v>
      </c>
      <c r="C21" s="70" t="s">
        <v>58</v>
      </c>
      <c r="D21" s="71" t="s">
        <v>68</v>
      </c>
      <c r="E21" s="68">
        <v>8790166779</v>
      </c>
      <c r="F21" s="53"/>
    </row>
    <row r="22" spans="1:6" ht="19.5" customHeight="1">
      <c r="A22" s="53">
        <v>18</v>
      </c>
      <c r="B22" s="53">
        <v>2432</v>
      </c>
      <c r="C22" s="54" t="s">
        <v>280</v>
      </c>
      <c r="D22" s="71" t="s">
        <v>68</v>
      </c>
      <c r="E22" s="53">
        <v>7093243607</v>
      </c>
      <c r="F22" s="53"/>
    </row>
    <row r="23" spans="1:6" ht="19.5" customHeight="1">
      <c r="A23" s="53">
        <v>19</v>
      </c>
      <c r="B23" s="75" t="s">
        <v>66</v>
      </c>
      <c r="C23" s="70" t="s">
        <v>67</v>
      </c>
      <c r="D23" s="71" t="s">
        <v>68</v>
      </c>
      <c r="E23" s="53">
        <v>9614547390</v>
      </c>
      <c r="F23" s="53"/>
    </row>
    <row r="24" spans="1:6" ht="19.5" customHeight="1">
      <c r="A24" s="53">
        <v>20</v>
      </c>
      <c r="B24" s="53">
        <v>2454</v>
      </c>
      <c r="C24" s="54" t="s">
        <v>218</v>
      </c>
      <c r="D24" s="71" t="s">
        <v>68</v>
      </c>
      <c r="E24" s="53">
        <v>7729990303</v>
      </c>
      <c r="F24" s="53"/>
    </row>
    <row r="25" spans="1:6" ht="19.5" customHeight="1">
      <c r="A25" s="53">
        <v>21</v>
      </c>
      <c r="B25" s="53">
        <v>2502</v>
      </c>
      <c r="C25" s="55" t="s">
        <v>107</v>
      </c>
      <c r="D25" s="71" t="s">
        <v>68</v>
      </c>
      <c r="E25" s="53">
        <v>9600605782</v>
      </c>
      <c r="F25" s="53"/>
    </row>
    <row r="26" spans="1:6" ht="19.5" customHeight="1">
      <c r="A26" s="53">
        <v>22</v>
      </c>
      <c r="B26" s="53">
        <v>2514</v>
      </c>
      <c r="C26" s="55" t="s">
        <v>113</v>
      </c>
      <c r="D26" s="71" t="s">
        <v>68</v>
      </c>
      <c r="E26" s="53">
        <v>9500312191</v>
      </c>
      <c r="F26" s="53"/>
    </row>
    <row r="27" spans="1:6" ht="19.5" customHeight="1">
      <c r="A27" s="53">
        <v>23</v>
      </c>
      <c r="B27" s="53">
        <v>2519</v>
      </c>
      <c r="C27" s="55" t="s">
        <v>120</v>
      </c>
      <c r="D27" s="71" t="s">
        <v>68</v>
      </c>
      <c r="E27" s="71">
        <v>8978116834</v>
      </c>
      <c r="F27" s="53"/>
    </row>
    <row r="28" spans="1:6" ht="19.5" customHeight="1">
      <c r="A28" s="53">
        <v>24</v>
      </c>
      <c r="B28" s="79">
        <v>2520</v>
      </c>
      <c r="C28" s="110" t="s">
        <v>123</v>
      </c>
      <c r="D28" s="111" t="s">
        <v>68</v>
      </c>
      <c r="E28" s="79">
        <v>8085865163</v>
      </c>
      <c r="F28" s="79"/>
    </row>
    <row r="29" spans="1:6" ht="19.5" customHeight="1">
      <c r="A29" s="53">
        <v>25</v>
      </c>
      <c r="B29" s="71">
        <v>2637</v>
      </c>
      <c r="C29" s="70" t="s">
        <v>261</v>
      </c>
      <c r="D29" s="71" t="s">
        <v>68</v>
      </c>
      <c r="E29" s="53">
        <v>8876018296</v>
      </c>
      <c r="F29" s="53"/>
    </row>
    <row r="30" spans="1:6" ht="19.5" customHeight="1">
      <c r="A30" s="53">
        <v>26</v>
      </c>
      <c r="B30" s="71">
        <v>2689</v>
      </c>
      <c r="C30" s="70" t="s">
        <v>154</v>
      </c>
      <c r="D30" s="71" t="s">
        <v>68</v>
      </c>
      <c r="E30" s="53">
        <v>9668112717</v>
      </c>
      <c r="F30" s="53"/>
    </row>
    <row r="31" spans="1:6" ht="19.5" customHeight="1">
      <c r="A31" s="53">
        <v>27</v>
      </c>
      <c r="B31" s="53">
        <v>2693</v>
      </c>
      <c r="C31" s="55" t="s">
        <v>227</v>
      </c>
      <c r="D31" s="71" t="s">
        <v>68</v>
      </c>
      <c r="E31" s="53">
        <v>9094802494</v>
      </c>
      <c r="F31" s="53"/>
    </row>
    <row r="32" spans="1:6" ht="19.5" customHeight="1">
      <c r="A32" s="53">
        <v>28</v>
      </c>
      <c r="B32" s="71">
        <v>2680</v>
      </c>
      <c r="C32" s="70" t="s">
        <v>262</v>
      </c>
      <c r="D32" s="71" t="s">
        <v>68</v>
      </c>
      <c r="E32" s="53">
        <v>9840972744</v>
      </c>
      <c r="F32" s="53"/>
    </row>
    <row r="33" spans="1:6" ht="19.5" customHeight="1">
      <c r="A33" s="53">
        <v>29</v>
      </c>
      <c r="B33" s="53">
        <v>2728</v>
      </c>
      <c r="C33" s="55" t="s">
        <v>163</v>
      </c>
      <c r="D33" s="71" t="s">
        <v>68</v>
      </c>
      <c r="E33" s="53">
        <v>7981960066</v>
      </c>
      <c r="F33" s="53"/>
    </row>
    <row r="34" spans="1:6" ht="19.5" customHeight="1">
      <c r="A34" s="53">
        <v>30</v>
      </c>
      <c r="B34" s="53">
        <v>2765</v>
      </c>
      <c r="C34" s="54" t="s">
        <v>168</v>
      </c>
      <c r="D34" s="71" t="s">
        <v>68</v>
      </c>
      <c r="E34" s="53">
        <v>9788682940</v>
      </c>
      <c r="F34" s="53"/>
    </row>
    <row r="35" spans="1:6" ht="19.5" customHeight="1">
      <c r="A35" s="53">
        <v>31</v>
      </c>
      <c r="B35" s="53">
        <v>2812</v>
      </c>
      <c r="C35" s="77" t="s">
        <v>175</v>
      </c>
      <c r="D35" s="71" t="s">
        <v>68</v>
      </c>
      <c r="E35" s="53">
        <v>7731063177</v>
      </c>
      <c r="F35" s="53"/>
    </row>
    <row r="36" spans="1:6" ht="19.5" customHeight="1">
      <c r="A36" s="53">
        <v>32</v>
      </c>
      <c r="B36" s="53">
        <v>2814</v>
      </c>
      <c r="C36" s="77" t="s">
        <v>176</v>
      </c>
      <c r="D36" s="71" t="s">
        <v>68</v>
      </c>
      <c r="E36" s="53">
        <v>8056033643</v>
      </c>
      <c r="F36" s="53"/>
    </row>
    <row r="37" spans="1:6" ht="19.5" customHeight="1">
      <c r="A37" s="53">
        <v>33</v>
      </c>
      <c r="B37" s="53">
        <v>2819</v>
      </c>
      <c r="C37" s="55" t="s">
        <v>264</v>
      </c>
      <c r="D37" s="71" t="s">
        <v>68</v>
      </c>
      <c r="E37" s="53">
        <v>9315797477</v>
      </c>
      <c r="F37" s="53"/>
    </row>
    <row r="38" spans="1:6" ht="19.5" customHeight="1">
      <c r="A38" s="53">
        <v>34</v>
      </c>
      <c r="B38" s="53">
        <v>30410</v>
      </c>
      <c r="C38" s="55" t="s">
        <v>61</v>
      </c>
      <c r="D38" s="68" t="s">
        <v>228</v>
      </c>
      <c r="E38" s="53">
        <v>7995622962</v>
      </c>
      <c r="F38" s="53"/>
    </row>
    <row r="39" spans="1:6" ht="19.5" customHeight="1">
      <c r="A39" s="53">
        <v>35</v>
      </c>
      <c r="B39" s="53">
        <v>633</v>
      </c>
      <c r="C39" s="54" t="s">
        <v>131</v>
      </c>
      <c r="D39" s="53" t="s">
        <v>265</v>
      </c>
      <c r="E39" s="53">
        <v>9494678628</v>
      </c>
      <c r="F39" s="53"/>
    </row>
    <row r="40" spans="1:6" ht="19.5" customHeight="1">
      <c r="A40" s="53">
        <v>36</v>
      </c>
      <c r="B40" s="53">
        <v>2285</v>
      </c>
      <c r="C40" s="54" t="s">
        <v>133</v>
      </c>
      <c r="D40" s="53" t="s">
        <v>265</v>
      </c>
      <c r="E40" s="53">
        <v>9640066261</v>
      </c>
      <c r="F40" s="53"/>
    </row>
    <row r="41" spans="1:6" ht="19.5" customHeight="1">
      <c r="A41" s="53">
        <v>37</v>
      </c>
      <c r="B41" s="53">
        <v>2512</v>
      </c>
      <c r="C41" s="54" t="s">
        <v>233</v>
      </c>
      <c r="D41" s="53" t="s">
        <v>62</v>
      </c>
      <c r="E41" s="53">
        <v>9292709507</v>
      </c>
      <c r="F41" s="53"/>
    </row>
    <row r="42" spans="1:6" ht="19.5" customHeight="1">
      <c r="A42" s="53">
        <v>38</v>
      </c>
      <c r="B42" s="53">
        <v>30674</v>
      </c>
      <c r="C42" s="55" t="s">
        <v>281</v>
      </c>
      <c r="D42" s="53" t="s">
        <v>62</v>
      </c>
      <c r="E42" s="53">
        <v>8919354267</v>
      </c>
      <c r="F42" s="53"/>
    </row>
    <row r="43" spans="1:6" ht="19.5" customHeight="1">
      <c r="A43" s="53">
        <v>39</v>
      </c>
      <c r="B43" s="53">
        <v>2826</v>
      </c>
      <c r="C43" s="55" t="s">
        <v>178</v>
      </c>
      <c r="D43" s="53" t="s">
        <v>62</v>
      </c>
      <c r="E43" s="53">
        <v>9542588470</v>
      </c>
      <c r="F43" s="53"/>
    </row>
    <row r="44" spans="1:6" ht="19.5" customHeight="1">
      <c r="A44" s="158">
        <v>40</v>
      </c>
      <c r="B44" s="158">
        <v>30664</v>
      </c>
      <c r="C44" s="159" t="s">
        <v>282</v>
      </c>
      <c r="D44" s="158" t="s">
        <v>283</v>
      </c>
      <c r="E44" s="158">
        <v>9489953432</v>
      </c>
      <c r="F44" s="158"/>
    </row>
    <row r="45" spans="1:6" ht="19.5" customHeight="1">
      <c r="A45" s="514" t="s">
        <v>47</v>
      </c>
      <c r="B45" s="514"/>
      <c r="C45" s="514"/>
      <c r="D45" s="514"/>
      <c r="E45" s="514"/>
      <c r="F45" s="514"/>
    </row>
    <row r="46" spans="1:6" ht="19.5" customHeight="1">
      <c r="A46" s="514" t="s">
        <v>274</v>
      </c>
      <c r="B46" s="514"/>
      <c r="C46" s="514"/>
      <c r="D46" s="514"/>
      <c r="E46" s="514"/>
      <c r="F46" s="514"/>
    </row>
    <row r="47" spans="1:6" ht="21" customHeight="1">
      <c r="A47" s="527" t="s">
        <v>284</v>
      </c>
      <c r="B47" s="527"/>
      <c r="C47" s="527"/>
      <c r="D47" s="527"/>
      <c r="E47" s="527"/>
      <c r="F47" s="527"/>
    </row>
    <row r="48" spans="1:6" ht="21" customHeight="1">
      <c r="A48" s="528"/>
      <c r="B48" s="529"/>
      <c r="C48" s="529"/>
      <c r="D48" s="529"/>
      <c r="E48" s="529"/>
      <c r="F48" s="530"/>
    </row>
    <row r="49" spans="1:6" ht="21" customHeight="1">
      <c r="A49" s="116" t="s">
        <v>239</v>
      </c>
      <c r="B49" s="116" t="s">
        <v>285</v>
      </c>
      <c r="C49" s="116" t="s">
        <v>286</v>
      </c>
      <c r="D49" s="116" t="s">
        <v>4</v>
      </c>
      <c r="E49" s="3" t="s">
        <v>8</v>
      </c>
      <c r="F49" s="3" t="s">
        <v>287</v>
      </c>
    </row>
    <row r="50" spans="1:6" ht="21" customHeight="1">
      <c r="A50" s="53">
        <v>1</v>
      </c>
      <c r="B50" s="79">
        <v>30679</v>
      </c>
      <c r="C50" s="110" t="s">
        <v>181</v>
      </c>
      <c r="D50" s="79" t="s">
        <v>62</v>
      </c>
      <c r="E50" s="79">
        <v>9848126500</v>
      </c>
      <c r="F50" s="160">
        <v>45520</v>
      </c>
    </row>
    <row r="51" spans="1:6" ht="24" customHeight="1">
      <c r="A51" s="53">
        <v>2</v>
      </c>
      <c r="B51" s="53">
        <v>30683</v>
      </c>
      <c r="C51" s="55" t="s">
        <v>183</v>
      </c>
      <c r="D51" s="53" t="s">
        <v>62</v>
      </c>
      <c r="E51" s="53">
        <v>7075547599</v>
      </c>
      <c r="F51" s="53"/>
    </row>
    <row r="52" spans="1:6" ht="24" customHeight="1">
      <c r="A52" s="53">
        <v>3</v>
      </c>
      <c r="B52" s="79">
        <v>30680</v>
      </c>
      <c r="C52" s="110" t="s">
        <v>184</v>
      </c>
      <c r="D52" s="79" t="s">
        <v>62</v>
      </c>
      <c r="E52" s="79">
        <v>9440359825</v>
      </c>
      <c r="F52" s="161">
        <v>45603</v>
      </c>
    </row>
    <row r="53" spans="1:6" ht="24" customHeight="1">
      <c r="A53" s="53">
        <v>4</v>
      </c>
      <c r="B53" s="53">
        <v>30681</v>
      </c>
      <c r="C53" s="55" t="s">
        <v>185</v>
      </c>
      <c r="D53" s="53" t="s">
        <v>62</v>
      </c>
      <c r="E53" s="53">
        <v>7981570764</v>
      </c>
      <c r="F53" s="53"/>
    </row>
    <row r="54" spans="1:6" ht="24" customHeight="1">
      <c r="A54" s="53">
        <v>5</v>
      </c>
      <c r="B54" s="53">
        <v>30682</v>
      </c>
      <c r="C54" s="55" t="s">
        <v>186</v>
      </c>
      <c r="D54" s="53" t="s">
        <v>62</v>
      </c>
      <c r="E54" s="53">
        <v>9515188096</v>
      </c>
      <c r="F54" s="53"/>
    </row>
    <row r="55" spans="1:6" ht="24" customHeight="1">
      <c r="A55" s="53">
        <v>6</v>
      </c>
      <c r="B55" s="53">
        <v>30685</v>
      </c>
      <c r="C55" s="55" t="s">
        <v>187</v>
      </c>
      <c r="D55" s="53" t="s">
        <v>62</v>
      </c>
      <c r="E55" s="53">
        <v>9182032471</v>
      </c>
      <c r="F55" s="53"/>
    </row>
    <row r="56" spans="1:6" ht="24" customHeight="1">
      <c r="A56" s="53">
        <v>7</v>
      </c>
      <c r="B56" s="79">
        <v>30684</v>
      </c>
      <c r="C56" s="110" t="s">
        <v>188</v>
      </c>
      <c r="D56" s="79" t="s">
        <v>62</v>
      </c>
      <c r="E56" s="79">
        <v>9652448474</v>
      </c>
      <c r="F56" s="160">
        <v>45574</v>
      </c>
    </row>
    <row r="57" spans="1:6" ht="24" customHeight="1">
      <c r="A57" s="53">
        <v>8</v>
      </c>
      <c r="B57" s="53">
        <v>30705</v>
      </c>
      <c r="C57" s="55" t="s">
        <v>288</v>
      </c>
      <c r="D57" s="53" t="s">
        <v>62</v>
      </c>
      <c r="E57" s="56">
        <v>7569439852</v>
      </c>
      <c r="F57" s="53"/>
    </row>
    <row r="58" spans="1:6" ht="24" customHeight="1">
      <c r="A58" s="53">
        <v>9</v>
      </c>
      <c r="B58" s="79">
        <v>30708</v>
      </c>
      <c r="C58" s="110" t="s">
        <v>289</v>
      </c>
      <c r="D58" s="79" t="s">
        <v>62</v>
      </c>
      <c r="E58" s="79">
        <v>8499817759</v>
      </c>
      <c r="F58" s="160">
        <v>45517</v>
      </c>
    </row>
    <row r="59" spans="1:6" ht="24" customHeight="1">
      <c r="A59" s="53">
        <v>10</v>
      </c>
      <c r="B59" s="79">
        <v>30711</v>
      </c>
      <c r="C59" s="110" t="s">
        <v>290</v>
      </c>
      <c r="D59" s="79" t="s">
        <v>62</v>
      </c>
      <c r="E59" s="80">
        <v>8919981639</v>
      </c>
      <c r="F59" s="79" t="s">
        <v>291</v>
      </c>
    </row>
    <row r="60" spans="1:6" ht="24" customHeight="1">
      <c r="A60" s="53">
        <v>11</v>
      </c>
      <c r="B60" s="53">
        <v>30713</v>
      </c>
      <c r="C60" s="55" t="s">
        <v>292</v>
      </c>
      <c r="D60" s="53" t="s">
        <v>62</v>
      </c>
      <c r="E60" s="53">
        <v>8688185663</v>
      </c>
      <c r="F60" s="53"/>
    </row>
    <row r="61" spans="1:6" ht="24" customHeight="1">
      <c r="A61" s="53">
        <v>12</v>
      </c>
      <c r="B61" s="56">
        <v>30731</v>
      </c>
      <c r="C61" s="73" t="s">
        <v>293</v>
      </c>
      <c r="D61" s="53" t="s">
        <v>62</v>
      </c>
      <c r="E61" s="56">
        <v>9701843396</v>
      </c>
      <c r="F61" s="53"/>
    </row>
    <row r="62" spans="1:6" ht="24" customHeight="1">
      <c r="A62" s="53">
        <v>13</v>
      </c>
      <c r="B62" s="80">
        <v>30732</v>
      </c>
      <c r="C62" s="122" t="s">
        <v>294</v>
      </c>
      <c r="D62" s="79" t="s">
        <v>62</v>
      </c>
      <c r="E62" s="80">
        <v>9640630744</v>
      </c>
      <c r="F62" s="161">
        <v>45598</v>
      </c>
    </row>
    <row r="63" spans="1:6" ht="24" customHeight="1">
      <c r="A63" s="53">
        <v>14</v>
      </c>
      <c r="B63" s="53">
        <v>30733</v>
      </c>
      <c r="C63" s="73" t="s">
        <v>295</v>
      </c>
      <c r="D63" s="53" t="s">
        <v>62</v>
      </c>
      <c r="E63" s="56">
        <v>9392742504</v>
      </c>
      <c r="F63" s="53"/>
    </row>
    <row r="64" spans="1:6" ht="30" customHeight="1">
      <c r="A64" s="53">
        <v>15</v>
      </c>
      <c r="B64" s="79">
        <v>30712</v>
      </c>
      <c r="C64" s="110" t="s">
        <v>296</v>
      </c>
      <c r="D64" s="79" t="s">
        <v>62</v>
      </c>
      <c r="E64" s="79">
        <v>9014280568</v>
      </c>
      <c r="F64" s="161">
        <v>45598</v>
      </c>
    </row>
    <row r="65" spans="1:6" ht="30" customHeight="1">
      <c r="B65" s="81"/>
      <c r="D65" s="81"/>
      <c r="F65" s="162"/>
    </row>
    <row r="66" spans="1:6" ht="30" customHeight="1">
      <c r="B66" s="81"/>
      <c r="D66" s="81"/>
      <c r="F66" s="162"/>
    </row>
    <row r="68" spans="1:6" ht="26.25" customHeight="1">
      <c r="A68" s="53">
        <v>1</v>
      </c>
      <c r="B68" s="53">
        <v>2473</v>
      </c>
      <c r="C68" s="55" t="s">
        <v>243</v>
      </c>
      <c r="D68" s="53" t="s">
        <v>147</v>
      </c>
      <c r="E68" s="53">
        <v>8790500801</v>
      </c>
      <c r="F68" s="81" t="s">
        <v>297</v>
      </c>
    </row>
    <row r="69" spans="1:6" ht="26.25" customHeight="1">
      <c r="A69" s="79">
        <v>2</v>
      </c>
      <c r="B69" s="79">
        <v>2564</v>
      </c>
      <c r="C69" s="110" t="s">
        <v>146</v>
      </c>
      <c r="D69" s="79" t="s">
        <v>147</v>
      </c>
      <c r="E69" s="79">
        <v>7675051328</v>
      </c>
    </row>
    <row r="70" spans="1:6" ht="26.25" customHeight="1">
      <c r="A70" s="53">
        <v>3</v>
      </c>
      <c r="B70" s="71">
        <v>2646</v>
      </c>
      <c r="C70" s="70" t="s">
        <v>245</v>
      </c>
      <c r="D70" s="68" t="s">
        <v>267</v>
      </c>
      <c r="E70" s="53">
        <v>6300035358</v>
      </c>
    </row>
    <row r="71" spans="1:6" ht="26.25" customHeight="1">
      <c r="A71" s="53">
        <v>4</v>
      </c>
      <c r="B71" s="71">
        <v>2686</v>
      </c>
      <c r="C71" s="70" t="s">
        <v>268</v>
      </c>
      <c r="D71" s="68" t="s">
        <v>267</v>
      </c>
      <c r="E71" s="53">
        <v>8247346900</v>
      </c>
    </row>
    <row r="72" spans="1:6" ht="26.25" customHeight="1">
      <c r="A72" s="53">
        <v>5</v>
      </c>
      <c r="B72" s="71">
        <v>2614</v>
      </c>
      <c r="C72" s="70" t="s">
        <v>269</v>
      </c>
      <c r="D72" s="68" t="s">
        <v>147</v>
      </c>
      <c r="E72" s="53">
        <v>9581958972</v>
      </c>
    </row>
    <row r="73" spans="1:6" ht="26.25" customHeight="1">
      <c r="A73" s="53">
        <v>6</v>
      </c>
      <c r="B73" s="71"/>
      <c r="C73" s="70" t="s">
        <v>298</v>
      </c>
      <c r="D73" s="68" t="s">
        <v>147</v>
      </c>
      <c r="E73" s="53"/>
    </row>
    <row r="74" spans="1:6" ht="26.25" customHeight="1">
      <c r="A74" s="53">
        <v>7</v>
      </c>
      <c r="B74" s="53">
        <v>629</v>
      </c>
      <c r="C74" s="54" t="s">
        <v>248</v>
      </c>
      <c r="D74" s="53" t="s">
        <v>270</v>
      </c>
      <c r="E74" s="53">
        <v>9502200265</v>
      </c>
    </row>
    <row r="75" spans="1:6" ht="26.25" customHeight="1">
      <c r="A75" s="53">
        <v>8</v>
      </c>
      <c r="B75" s="53">
        <v>2538</v>
      </c>
      <c r="C75" s="55" t="s">
        <v>271</v>
      </c>
      <c r="D75" s="53" t="s">
        <v>270</v>
      </c>
      <c r="E75" s="53">
        <v>9848526387</v>
      </c>
    </row>
    <row r="76" spans="1:6" ht="26.25" customHeight="1">
      <c r="A76" s="53">
        <v>9</v>
      </c>
      <c r="B76" s="53">
        <v>2613</v>
      </c>
      <c r="C76" s="54" t="s">
        <v>272</v>
      </c>
      <c r="D76" s="56" t="s">
        <v>251</v>
      </c>
      <c r="E76" s="53">
        <v>973912337</v>
      </c>
    </row>
    <row r="77" spans="1:6" ht="26.25" customHeight="1">
      <c r="A77" s="53">
        <v>10</v>
      </c>
      <c r="B77" s="53">
        <v>2700</v>
      </c>
      <c r="C77" s="54" t="s">
        <v>273</v>
      </c>
      <c r="D77" s="53" t="s">
        <v>251</v>
      </c>
      <c r="E77" s="53"/>
    </row>
    <row r="87" spans="1:7">
      <c r="A87" s="3" t="s">
        <v>1</v>
      </c>
      <c r="B87" s="3" t="s">
        <v>216</v>
      </c>
      <c r="C87" s="100" t="s">
        <v>3</v>
      </c>
      <c r="D87" s="3" t="s">
        <v>4</v>
      </c>
      <c r="E87" s="3" t="s">
        <v>8</v>
      </c>
      <c r="F87" s="3" t="s">
        <v>7</v>
      </c>
    </row>
    <row r="88" spans="1:7">
      <c r="A88" s="53">
        <v>1</v>
      </c>
      <c r="B88" s="53">
        <v>2812</v>
      </c>
      <c r="C88" s="77" t="s">
        <v>175</v>
      </c>
      <c r="D88" s="71" t="s">
        <v>68</v>
      </c>
      <c r="E88" s="53">
        <v>7731063177</v>
      </c>
      <c r="F88" s="95">
        <v>45488</v>
      </c>
    </row>
    <row r="89" spans="1:7">
      <c r="A89" s="53">
        <v>2</v>
      </c>
      <c r="B89" s="53">
        <v>2814</v>
      </c>
      <c r="C89" s="77" t="s">
        <v>176</v>
      </c>
      <c r="D89" s="71" t="s">
        <v>68</v>
      </c>
      <c r="E89" s="53">
        <v>8056033643</v>
      </c>
      <c r="F89" s="95">
        <v>45488</v>
      </c>
    </row>
    <row r="90" spans="1:7">
      <c r="A90" s="53">
        <v>3</v>
      </c>
      <c r="B90" s="53">
        <v>2826</v>
      </c>
      <c r="C90" s="55" t="s">
        <v>178</v>
      </c>
      <c r="D90" s="53" t="s">
        <v>62</v>
      </c>
      <c r="E90" s="53">
        <v>9542588470</v>
      </c>
      <c r="F90" s="95">
        <v>45495</v>
      </c>
    </row>
    <row r="91" spans="1:7">
      <c r="A91" s="53">
        <v>4</v>
      </c>
      <c r="B91" s="53">
        <v>2827</v>
      </c>
      <c r="C91" s="55" t="s">
        <v>179</v>
      </c>
      <c r="D91" s="71" t="s">
        <v>180</v>
      </c>
      <c r="E91" s="68">
        <v>8085575111</v>
      </c>
      <c r="F91" s="95">
        <v>45495</v>
      </c>
    </row>
    <row r="92" spans="1:7">
      <c r="A92" s="53"/>
      <c r="B92" s="53"/>
      <c r="C92" s="55"/>
      <c r="D92" s="71"/>
      <c r="E92" s="68"/>
      <c r="F92" s="95"/>
    </row>
    <row r="93" spans="1:7">
      <c r="A93" s="53"/>
      <c r="B93" s="53"/>
      <c r="C93" s="55"/>
      <c r="D93" s="71"/>
      <c r="E93" s="68"/>
      <c r="F93" s="95"/>
    </row>
    <row r="94" spans="1:7">
      <c r="A94" s="53"/>
      <c r="B94" s="53"/>
      <c r="C94" s="55"/>
      <c r="D94" s="71"/>
      <c r="E94" s="68"/>
      <c r="F94" s="95"/>
    </row>
    <row r="95" spans="1:7">
      <c r="A95" s="53">
        <v>1</v>
      </c>
      <c r="B95" s="53">
        <v>30679</v>
      </c>
      <c r="C95" s="55" t="s">
        <v>181</v>
      </c>
      <c r="D95" s="53" t="s">
        <v>62</v>
      </c>
      <c r="E95" s="53">
        <v>9848126500</v>
      </c>
      <c r="F95" s="95">
        <v>45488</v>
      </c>
      <c r="G95" s="160">
        <v>45520</v>
      </c>
    </row>
    <row r="96" spans="1:7">
      <c r="A96" s="53">
        <v>2</v>
      </c>
      <c r="B96" s="53">
        <v>30683</v>
      </c>
      <c r="C96" s="55" t="s">
        <v>183</v>
      </c>
      <c r="D96" s="53" t="s">
        <v>62</v>
      </c>
      <c r="E96" s="53">
        <v>7075547599</v>
      </c>
      <c r="F96" s="95">
        <v>45488</v>
      </c>
      <c r="G96" s="73"/>
    </row>
    <row r="97" spans="1:8">
      <c r="A97" s="53">
        <v>3</v>
      </c>
      <c r="B97" s="53">
        <v>30680</v>
      </c>
      <c r="C97" s="55" t="s">
        <v>184</v>
      </c>
      <c r="D97" s="53" t="s">
        <v>62</v>
      </c>
      <c r="E97" s="53">
        <v>9440359825</v>
      </c>
      <c r="F97" s="95">
        <v>45488</v>
      </c>
      <c r="G97" s="73"/>
    </row>
    <row r="98" spans="1:8">
      <c r="A98" s="53">
        <v>4</v>
      </c>
      <c r="B98" s="53">
        <v>30681</v>
      </c>
      <c r="C98" s="55" t="s">
        <v>185</v>
      </c>
      <c r="D98" s="53" t="s">
        <v>62</v>
      </c>
      <c r="E98" s="53">
        <v>7981570764</v>
      </c>
      <c r="F98" s="95">
        <v>45488</v>
      </c>
      <c r="G98" s="73"/>
    </row>
    <row r="99" spans="1:8">
      <c r="A99" s="53">
        <v>5</v>
      </c>
      <c r="B99" s="53">
        <v>30682</v>
      </c>
      <c r="C99" s="55" t="s">
        <v>186</v>
      </c>
      <c r="D99" s="53" t="s">
        <v>62</v>
      </c>
      <c r="E99" s="53">
        <v>9515188096</v>
      </c>
      <c r="F99" s="95">
        <v>45488</v>
      </c>
      <c r="G99" s="73"/>
    </row>
    <row r="100" spans="1:8">
      <c r="A100" s="53">
        <v>6</v>
      </c>
      <c r="B100" s="53">
        <v>30685</v>
      </c>
      <c r="C100" s="55" t="s">
        <v>187</v>
      </c>
      <c r="D100" s="53" t="s">
        <v>62</v>
      </c>
      <c r="E100" s="53">
        <v>9182032471</v>
      </c>
      <c r="F100" s="95">
        <v>45489</v>
      </c>
      <c r="G100" s="73"/>
    </row>
    <row r="101" spans="1:8">
      <c r="A101" s="53">
        <v>7</v>
      </c>
      <c r="B101" s="53">
        <v>30684</v>
      </c>
      <c r="C101" s="55" t="s">
        <v>188</v>
      </c>
      <c r="D101" s="53" t="s">
        <v>62</v>
      </c>
      <c r="E101" s="53">
        <v>9652448474</v>
      </c>
      <c r="F101" s="95">
        <v>45488</v>
      </c>
      <c r="G101" s="73"/>
    </row>
    <row r="102" spans="1:8">
      <c r="A102" s="53">
        <v>8</v>
      </c>
      <c r="B102" s="53">
        <v>30711</v>
      </c>
      <c r="C102" s="55" t="s">
        <v>290</v>
      </c>
      <c r="D102" s="53" t="s">
        <v>62</v>
      </c>
      <c r="E102" s="53">
        <v>8919981639</v>
      </c>
      <c r="F102" s="62">
        <v>45509</v>
      </c>
      <c r="G102" s="73"/>
    </row>
    <row r="103" spans="1:8">
      <c r="A103" s="53">
        <v>9</v>
      </c>
      <c r="B103" s="53">
        <v>30713</v>
      </c>
      <c r="C103" s="55" t="s">
        <v>292</v>
      </c>
      <c r="D103" s="53" t="s">
        <v>62</v>
      </c>
      <c r="E103" s="53">
        <v>8688185663</v>
      </c>
      <c r="F103" s="62">
        <v>45509</v>
      </c>
      <c r="G103" s="73"/>
    </row>
    <row r="104" spans="1:8">
      <c r="A104" s="53">
        <v>10</v>
      </c>
      <c r="B104" s="56">
        <v>30731</v>
      </c>
      <c r="C104" s="73" t="s">
        <v>293</v>
      </c>
      <c r="D104" s="53" t="s">
        <v>62</v>
      </c>
      <c r="E104" s="53">
        <v>9701843396</v>
      </c>
      <c r="F104" s="62">
        <v>45521</v>
      </c>
      <c r="G104" s="73"/>
    </row>
    <row r="105" spans="1:8">
      <c r="A105" s="53">
        <v>11</v>
      </c>
      <c r="B105" s="56">
        <v>30732</v>
      </c>
      <c r="C105" s="73" t="s">
        <v>294</v>
      </c>
      <c r="D105" s="53" t="s">
        <v>62</v>
      </c>
      <c r="E105" s="53">
        <v>9640630744</v>
      </c>
      <c r="F105" s="62">
        <v>45521</v>
      </c>
      <c r="G105" s="73"/>
    </row>
    <row r="106" spans="1:8">
      <c r="A106" s="53">
        <v>12</v>
      </c>
      <c r="B106" s="163">
        <v>30733</v>
      </c>
      <c r="C106" s="73" t="s">
        <v>295</v>
      </c>
      <c r="D106" s="53" t="s">
        <v>62</v>
      </c>
      <c r="E106" s="53">
        <v>9392742504</v>
      </c>
      <c r="F106" s="62">
        <v>45521</v>
      </c>
      <c r="G106" s="73"/>
    </row>
    <row r="107" spans="1:8">
      <c r="A107" s="53">
        <v>13</v>
      </c>
      <c r="B107" s="164">
        <v>30708</v>
      </c>
      <c r="C107" s="165" t="s">
        <v>289</v>
      </c>
      <c r="D107" s="164" t="s">
        <v>62</v>
      </c>
      <c r="E107" s="164">
        <v>8499817759</v>
      </c>
      <c r="F107" s="166">
        <v>45517</v>
      </c>
      <c r="G107" s="160">
        <v>45517</v>
      </c>
      <c r="H107" s="167"/>
    </row>
    <row r="108" spans="1:8">
      <c r="A108" s="53">
        <v>14</v>
      </c>
      <c r="B108" s="53">
        <v>30712</v>
      </c>
      <c r="C108" s="55" t="s">
        <v>296</v>
      </c>
      <c r="D108" s="53" t="s">
        <v>62</v>
      </c>
      <c r="E108" s="53">
        <v>9014280568</v>
      </c>
      <c r="F108" s="62">
        <v>45509</v>
      </c>
      <c r="G108" s="73"/>
    </row>
  </sheetData>
  <mergeCells count="7">
    <mergeCell ref="A47:F47"/>
    <mergeCell ref="A48:F48"/>
    <mergeCell ref="A1:F1"/>
    <mergeCell ref="A2:F2"/>
    <mergeCell ref="A3:F3"/>
    <mergeCell ref="A45:F45"/>
    <mergeCell ref="A46:F46"/>
  </mergeCells>
  <conditionalFormatting sqref="B20:B21">
    <cfRule type="duplicateValues" dxfId="43" priority="3"/>
  </conditionalFormatting>
  <conditionalFormatting sqref="B23:B24">
    <cfRule type="duplicateValues" dxfId="42" priority="2"/>
  </conditionalFormatting>
  <pageMargins left="0.39370078740157499" right="0.39370078740157499" top="0.39370078740157499" bottom="0.39370078740157499" header="0.31496062992126" footer="0.31496062992126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73"/>
  <sheetViews>
    <sheetView workbookViewId="0">
      <selection activeCell="B36" sqref="B36:G36"/>
    </sheetView>
  </sheetViews>
  <sheetFormatPr defaultColWidth="9.109375" defaultRowHeight="15"/>
  <cols>
    <col min="1" max="1" width="5.6640625" style="87" customWidth="1"/>
    <col min="2" max="2" width="9" style="87" customWidth="1"/>
    <col min="3" max="3" width="9.109375" style="87"/>
    <col min="4" max="4" width="34.5546875" style="87" customWidth="1"/>
    <col min="5" max="5" width="26" style="87" customWidth="1"/>
    <col min="6" max="6" width="15.88671875" style="87" customWidth="1"/>
    <col min="7" max="7" width="16.88671875" style="87" customWidth="1"/>
    <col min="8" max="16384" width="9.109375" style="87"/>
  </cols>
  <sheetData>
    <row r="2" spans="2:7">
      <c r="B2" s="514" t="s">
        <v>47</v>
      </c>
      <c r="C2" s="514"/>
      <c r="D2" s="514"/>
      <c r="E2" s="514"/>
      <c r="F2" s="514"/>
      <c r="G2" s="514"/>
    </row>
    <row r="3" spans="2:7">
      <c r="B3" s="514" t="s">
        <v>274</v>
      </c>
      <c r="C3" s="514"/>
      <c r="D3" s="514"/>
      <c r="E3" s="514"/>
      <c r="F3" s="514"/>
      <c r="G3" s="514"/>
    </row>
    <row r="4" spans="2:7">
      <c r="B4" s="518"/>
      <c r="C4" s="518"/>
      <c r="D4" s="518"/>
      <c r="E4" s="518"/>
      <c r="F4" s="518"/>
      <c r="G4" s="518"/>
    </row>
    <row r="5" spans="2:7" ht="24.9" customHeight="1">
      <c r="B5" s="3" t="s">
        <v>1</v>
      </c>
      <c r="C5" s="3" t="s">
        <v>216</v>
      </c>
      <c r="D5" s="100" t="s">
        <v>3</v>
      </c>
      <c r="E5" s="3" t="s">
        <v>4</v>
      </c>
      <c r="F5" s="3" t="s">
        <v>8</v>
      </c>
      <c r="G5" s="3" t="s">
        <v>276</v>
      </c>
    </row>
    <row r="6" spans="2:7">
      <c r="B6" s="53">
        <v>1</v>
      </c>
      <c r="C6" s="53">
        <v>1251</v>
      </c>
      <c r="D6" s="67" t="s">
        <v>9</v>
      </c>
      <c r="E6" s="68" t="s">
        <v>257</v>
      </c>
      <c r="F6" s="68">
        <v>9840850744</v>
      </c>
      <c r="G6" s="53"/>
    </row>
    <row r="7" spans="2:7">
      <c r="B7" s="53">
        <v>2</v>
      </c>
      <c r="C7" s="53">
        <v>308</v>
      </c>
      <c r="D7" s="67" t="s">
        <v>299</v>
      </c>
      <c r="E7" s="68" t="s">
        <v>19</v>
      </c>
      <c r="F7" s="68">
        <v>9908823834</v>
      </c>
      <c r="G7" s="53"/>
    </row>
    <row r="8" spans="2:7">
      <c r="B8" s="53">
        <v>3</v>
      </c>
      <c r="C8" s="53">
        <v>1182</v>
      </c>
      <c r="D8" s="70" t="s">
        <v>26</v>
      </c>
      <c r="E8" s="71" t="s">
        <v>258</v>
      </c>
      <c r="F8" s="68">
        <v>9676354404</v>
      </c>
      <c r="G8" s="53"/>
    </row>
    <row r="9" spans="2:7">
      <c r="B9" s="53">
        <v>4</v>
      </c>
      <c r="C9" s="53">
        <v>2511</v>
      </c>
      <c r="D9" s="55" t="s">
        <v>109</v>
      </c>
      <c r="E9" s="71" t="s">
        <v>180</v>
      </c>
      <c r="F9" s="53">
        <v>6379772780</v>
      </c>
      <c r="G9" s="53"/>
    </row>
    <row r="10" spans="2:7" ht="60">
      <c r="B10" s="53">
        <v>5</v>
      </c>
      <c r="C10" s="53">
        <v>312</v>
      </c>
      <c r="D10" s="67" t="s">
        <v>42</v>
      </c>
      <c r="E10" s="68" t="s">
        <v>278</v>
      </c>
      <c r="F10" s="68">
        <v>8297208489</v>
      </c>
      <c r="G10" s="53"/>
    </row>
    <row r="11" spans="2:7">
      <c r="B11" s="53">
        <v>6</v>
      </c>
      <c r="C11" s="53">
        <v>2090</v>
      </c>
      <c r="D11" s="54" t="s">
        <v>33</v>
      </c>
      <c r="E11" s="71" t="s">
        <v>180</v>
      </c>
      <c r="F11" s="68">
        <v>9441540580</v>
      </c>
      <c r="G11" s="53"/>
    </row>
    <row r="12" spans="2:7">
      <c r="B12" s="53">
        <v>7</v>
      </c>
      <c r="C12" s="53">
        <v>2827</v>
      </c>
      <c r="D12" s="55" t="s">
        <v>279</v>
      </c>
      <c r="E12" s="71" t="s">
        <v>180</v>
      </c>
      <c r="F12" s="68">
        <v>8085575111</v>
      </c>
      <c r="G12" s="53"/>
    </row>
    <row r="13" spans="2:7">
      <c r="B13" s="53">
        <v>8</v>
      </c>
      <c r="C13" s="53">
        <v>2490</v>
      </c>
      <c r="D13" s="55" t="s">
        <v>83</v>
      </c>
      <c r="E13" s="68" t="s">
        <v>157</v>
      </c>
      <c r="F13" s="53">
        <v>9848129660</v>
      </c>
      <c r="G13" s="53"/>
    </row>
    <row r="14" spans="2:7">
      <c r="B14" s="53">
        <v>9</v>
      </c>
      <c r="C14" s="53">
        <v>2493</v>
      </c>
      <c r="D14" s="55" t="s">
        <v>220</v>
      </c>
      <c r="E14" s="68" t="s">
        <v>157</v>
      </c>
      <c r="F14" s="53">
        <v>8940506036</v>
      </c>
      <c r="G14" s="53"/>
    </row>
    <row r="15" spans="2:7" ht="15.6">
      <c r="B15" s="53">
        <v>10</v>
      </c>
      <c r="C15" s="53">
        <v>2499</v>
      </c>
      <c r="D15" t="s">
        <v>221</v>
      </c>
      <c r="E15" s="68" t="s">
        <v>157</v>
      </c>
      <c r="F15" s="53">
        <v>9994476533</v>
      </c>
      <c r="G15" s="53"/>
    </row>
    <row r="16" spans="2:7">
      <c r="B16" s="53">
        <v>11</v>
      </c>
      <c r="C16" s="53">
        <v>2501</v>
      </c>
      <c r="D16" s="55" t="s">
        <v>101</v>
      </c>
      <c r="E16" s="68" t="s">
        <v>157</v>
      </c>
      <c r="F16" s="53">
        <v>9848052474</v>
      </c>
      <c r="G16" s="53"/>
    </row>
    <row r="17" spans="2:7">
      <c r="B17" s="53">
        <v>12</v>
      </c>
      <c r="C17" s="53">
        <v>2541</v>
      </c>
      <c r="D17" s="54" t="s">
        <v>127</v>
      </c>
      <c r="E17" s="68" t="s">
        <v>157</v>
      </c>
      <c r="F17" s="53">
        <v>7981738522</v>
      </c>
      <c r="G17" s="53"/>
    </row>
    <row r="18" spans="2:7">
      <c r="B18" s="53">
        <v>13</v>
      </c>
      <c r="C18" s="53">
        <v>2721</v>
      </c>
      <c r="D18" s="54" t="s">
        <v>156</v>
      </c>
      <c r="E18" s="68" t="s">
        <v>157</v>
      </c>
      <c r="F18" s="53">
        <v>9094802495</v>
      </c>
      <c r="G18" s="53"/>
    </row>
    <row r="19" spans="2:7">
      <c r="B19" s="53">
        <v>14</v>
      </c>
      <c r="C19" s="53">
        <v>540</v>
      </c>
      <c r="D19" s="67" t="s">
        <v>49</v>
      </c>
      <c r="E19" s="71" t="s">
        <v>68</v>
      </c>
      <c r="F19" s="68">
        <v>9550367172</v>
      </c>
      <c r="G19" s="53"/>
    </row>
    <row r="20" spans="2:7">
      <c r="B20" s="53">
        <v>15</v>
      </c>
      <c r="C20" s="53">
        <v>1181</v>
      </c>
      <c r="D20" s="70" t="s">
        <v>55</v>
      </c>
      <c r="E20" s="71" t="s">
        <v>68</v>
      </c>
      <c r="F20" s="68">
        <v>9493670612</v>
      </c>
      <c r="G20" s="53"/>
    </row>
    <row r="21" spans="2:7">
      <c r="B21" s="53">
        <v>16</v>
      </c>
      <c r="C21" s="53">
        <v>1243</v>
      </c>
      <c r="D21" s="70" t="s">
        <v>58</v>
      </c>
      <c r="E21" s="71" t="s">
        <v>68</v>
      </c>
      <c r="F21" s="68">
        <v>8790166779</v>
      </c>
      <c r="G21" s="53"/>
    </row>
    <row r="22" spans="2:7">
      <c r="B22" s="53">
        <v>17</v>
      </c>
      <c r="C22" s="53">
        <v>2432</v>
      </c>
      <c r="D22" s="54" t="s">
        <v>280</v>
      </c>
      <c r="E22" s="71" t="s">
        <v>68</v>
      </c>
      <c r="F22" s="53">
        <v>7093243607</v>
      </c>
      <c r="G22" s="53"/>
    </row>
    <row r="23" spans="2:7">
      <c r="B23" s="53">
        <v>18</v>
      </c>
      <c r="C23" s="71">
        <v>2442</v>
      </c>
      <c r="D23" s="70" t="s">
        <v>67</v>
      </c>
      <c r="E23" s="71" t="s">
        <v>68</v>
      </c>
      <c r="F23" s="53">
        <v>9614547390</v>
      </c>
      <c r="G23" s="53"/>
    </row>
    <row r="24" spans="2:7">
      <c r="B24" s="53">
        <v>19</v>
      </c>
      <c r="C24" s="53">
        <v>2454</v>
      </c>
      <c r="D24" s="54" t="s">
        <v>218</v>
      </c>
      <c r="E24" s="71" t="s">
        <v>68</v>
      </c>
      <c r="F24" s="53">
        <v>7729990303</v>
      </c>
      <c r="G24" s="53"/>
    </row>
    <row r="25" spans="2:7">
      <c r="B25" s="53">
        <v>20</v>
      </c>
      <c r="C25" s="53">
        <v>2502</v>
      </c>
      <c r="D25" s="55" t="s">
        <v>107</v>
      </c>
      <c r="E25" s="71" t="s">
        <v>68</v>
      </c>
      <c r="F25" s="53">
        <v>9600605782</v>
      </c>
      <c r="G25" s="53"/>
    </row>
    <row r="26" spans="2:7">
      <c r="B26" s="53">
        <v>21</v>
      </c>
      <c r="C26" s="53">
        <v>2514</v>
      </c>
      <c r="D26" s="55" t="s">
        <v>113</v>
      </c>
      <c r="E26" s="71" t="s">
        <v>68</v>
      </c>
      <c r="F26" s="53">
        <v>9500312191</v>
      </c>
      <c r="G26" s="53"/>
    </row>
    <row r="27" spans="2:7">
      <c r="B27" s="53">
        <v>22</v>
      </c>
      <c r="C27" s="53">
        <v>2519</v>
      </c>
      <c r="D27" s="55" t="s">
        <v>120</v>
      </c>
      <c r="E27" s="71" t="s">
        <v>68</v>
      </c>
      <c r="F27" s="71">
        <v>8978116834</v>
      </c>
      <c r="G27" s="53"/>
    </row>
    <row r="28" spans="2:7">
      <c r="B28" s="53">
        <v>23</v>
      </c>
      <c r="C28" s="71">
        <v>2637</v>
      </c>
      <c r="D28" s="70" t="s">
        <v>261</v>
      </c>
      <c r="E28" s="71" t="s">
        <v>68</v>
      </c>
      <c r="F28" s="53">
        <v>9706631085</v>
      </c>
      <c r="G28" s="53"/>
    </row>
    <row r="29" spans="2:7">
      <c r="B29" s="53">
        <v>24</v>
      </c>
      <c r="C29" s="71">
        <v>2689</v>
      </c>
      <c r="D29" s="70" t="s">
        <v>154</v>
      </c>
      <c r="E29" s="71" t="s">
        <v>68</v>
      </c>
      <c r="F29" s="53">
        <v>9668112717</v>
      </c>
      <c r="G29" s="53"/>
    </row>
    <row r="30" spans="2:7">
      <c r="B30" s="53">
        <v>25</v>
      </c>
      <c r="C30" s="53">
        <v>2693</v>
      </c>
      <c r="D30" s="55" t="s">
        <v>300</v>
      </c>
      <c r="E30" s="71" t="s">
        <v>68</v>
      </c>
      <c r="F30" s="53">
        <v>9094802494</v>
      </c>
      <c r="G30" s="53"/>
    </row>
    <row r="31" spans="2:7">
      <c r="B31" s="53">
        <v>26</v>
      </c>
      <c r="C31" s="71">
        <v>2680</v>
      </c>
      <c r="D31" s="70" t="s">
        <v>262</v>
      </c>
      <c r="E31" s="71" t="s">
        <v>68</v>
      </c>
      <c r="F31" s="53">
        <v>9840972744</v>
      </c>
      <c r="G31" s="53"/>
    </row>
    <row r="32" spans="2:7">
      <c r="B32" s="53">
        <v>27</v>
      </c>
      <c r="C32" s="53">
        <v>2728</v>
      </c>
      <c r="D32" s="55" t="s">
        <v>163</v>
      </c>
      <c r="E32" s="71" t="s">
        <v>68</v>
      </c>
      <c r="F32" s="53">
        <v>7981960066</v>
      </c>
      <c r="G32" s="53"/>
    </row>
    <row r="33" spans="2:11">
      <c r="B33" s="53">
        <v>28</v>
      </c>
      <c r="C33" s="53">
        <v>2765</v>
      </c>
      <c r="D33" s="54" t="s">
        <v>168</v>
      </c>
      <c r="E33" s="71" t="s">
        <v>68</v>
      </c>
      <c r="F33" s="53">
        <v>9788682940</v>
      </c>
      <c r="G33" s="53"/>
    </row>
    <row r="34" spans="2:11">
      <c r="B34" s="53">
        <v>29</v>
      </c>
      <c r="C34" s="53">
        <v>2812</v>
      </c>
      <c r="D34" s="77" t="s">
        <v>301</v>
      </c>
      <c r="E34" s="71" t="s">
        <v>68</v>
      </c>
      <c r="F34" s="53">
        <v>7731063177</v>
      </c>
      <c r="G34" s="53"/>
    </row>
    <row r="35" spans="2:11">
      <c r="B35" s="53">
        <v>30</v>
      </c>
      <c r="C35" s="53">
        <v>2814</v>
      </c>
      <c r="D35" s="77" t="s">
        <v>302</v>
      </c>
      <c r="E35" s="71" t="s">
        <v>68</v>
      </c>
      <c r="F35" s="53">
        <v>8056033643</v>
      </c>
      <c r="G35" s="53"/>
    </row>
    <row r="36" spans="2:11">
      <c r="B36" s="79">
        <v>31</v>
      </c>
      <c r="C36" s="79">
        <v>2819</v>
      </c>
      <c r="D36" s="110" t="s">
        <v>264</v>
      </c>
      <c r="E36" s="111" t="s">
        <v>68</v>
      </c>
      <c r="F36" s="79">
        <v>9315797477</v>
      </c>
      <c r="G36" s="53" t="s">
        <v>303</v>
      </c>
    </row>
    <row r="37" spans="2:11">
      <c r="B37" s="53">
        <v>32</v>
      </c>
      <c r="C37" s="53">
        <v>2512</v>
      </c>
      <c r="D37" s="54" t="s">
        <v>189</v>
      </c>
      <c r="E37" s="71" t="s">
        <v>68</v>
      </c>
      <c r="F37" s="53">
        <v>9292709507</v>
      </c>
      <c r="G37" s="53"/>
    </row>
    <row r="38" spans="2:11">
      <c r="B38" s="53">
        <v>33</v>
      </c>
      <c r="C38" s="53">
        <v>2898</v>
      </c>
      <c r="D38" s="87" t="s">
        <v>190</v>
      </c>
      <c r="E38" s="71" t="s">
        <v>68</v>
      </c>
      <c r="F38" s="53">
        <v>9989895732</v>
      </c>
      <c r="G38" s="53"/>
    </row>
    <row r="39" spans="2:11">
      <c r="B39" s="53">
        <v>34</v>
      </c>
      <c r="C39" s="53">
        <v>30410</v>
      </c>
      <c r="D39" s="55" t="s">
        <v>304</v>
      </c>
      <c r="E39" s="53" t="s">
        <v>62</v>
      </c>
      <c r="F39" s="53">
        <v>7995622962</v>
      </c>
      <c r="G39" s="53"/>
    </row>
    <row r="40" spans="2:11">
      <c r="B40" s="53">
        <v>35</v>
      </c>
      <c r="C40" s="53">
        <v>633</v>
      </c>
      <c r="D40" s="54" t="s">
        <v>305</v>
      </c>
      <c r="E40" s="53" t="s">
        <v>265</v>
      </c>
      <c r="F40" s="53">
        <v>9494678628</v>
      </c>
      <c r="G40" s="53"/>
    </row>
    <row r="41" spans="2:11">
      <c r="B41" s="53">
        <v>36</v>
      </c>
      <c r="C41" s="53">
        <v>2285</v>
      </c>
      <c r="D41" s="54" t="s">
        <v>306</v>
      </c>
      <c r="E41" s="53" t="s">
        <v>265</v>
      </c>
      <c r="F41" s="53">
        <v>9640066261</v>
      </c>
      <c r="G41" s="53"/>
    </row>
    <row r="42" spans="2:11">
      <c r="B42" s="53">
        <v>37</v>
      </c>
      <c r="C42" s="53">
        <v>2826</v>
      </c>
      <c r="D42" s="55" t="s">
        <v>178</v>
      </c>
      <c r="E42" s="53" t="s">
        <v>62</v>
      </c>
      <c r="F42" s="53">
        <v>9542588470</v>
      </c>
      <c r="G42" s="53"/>
    </row>
    <row r="43" spans="2:11">
      <c r="B43" s="53">
        <v>38</v>
      </c>
      <c r="C43" s="53">
        <v>2899</v>
      </c>
      <c r="D43" s="55" t="s">
        <v>307</v>
      </c>
      <c r="E43" s="53" t="s">
        <v>62</v>
      </c>
      <c r="F43" s="53">
        <v>8765540772</v>
      </c>
      <c r="G43" s="53"/>
    </row>
    <row r="44" spans="2:11">
      <c r="B44" s="53">
        <v>39</v>
      </c>
      <c r="C44" s="53">
        <v>30744</v>
      </c>
      <c r="D44" s="55" t="s">
        <v>308</v>
      </c>
      <c r="E44" s="53" t="s">
        <v>309</v>
      </c>
      <c r="F44" s="53">
        <v>8790500801</v>
      </c>
      <c r="G44" s="53"/>
    </row>
    <row r="45" spans="2:11">
      <c r="B45" s="53">
        <v>40</v>
      </c>
      <c r="C45" s="53">
        <v>30664</v>
      </c>
      <c r="D45" s="55" t="s">
        <v>282</v>
      </c>
      <c r="E45" s="53" t="s">
        <v>283</v>
      </c>
      <c r="F45" s="53">
        <v>9489953432</v>
      </c>
      <c r="G45" s="53"/>
    </row>
    <row r="46" spans="2:11">
      <c r="G46" s="53"/>
      <c r="I46" s="24"/>
      <c r="J46" s="25"/>
      <c r="K46" s="155"/>
    </row>
    <row r="47" spans="2:11">
      <c r="B47" s="531"/>
      <c r="C47" s="532"/>
      <c r="D47" s="532"/>
      <c r="E47" s="532"/>
      <c r="F47" s="532"/>
      <c r="G47" s="533"/>
      <c r="I47" s="24"/>
      <c r="J47" s="25"/>
      <c r="K47" s="155"/>
    </row>
    <row r="48" spans="2:11">
      <c r="B48" s="534" t="s">
        <v>310</v>
      </c>
      <c r="C48" s="534"/>
      <c r="D48" s="534"/>
      <c r="E48" s="534"/>
      <c r="F48" s="534"/>
      <c r="G48" s="534"/>
    </row>
    <row r="49" spans="2:7">
      <c r="B49" s="53">
        <v>1</v>
      </c>
      <c r="C49" s="53">
        <v>30683</v>
      </c>
      <c r="D49" s="55" t="s">
        <v>311</v>
      </c>
      <c r="E49" s="53" t="s">
        <v>62</v>
      </c>
      <c r="F49" s="56">
        <v>7075547599</v>
      </c>
      <c r="G49" s="53"/>
    </row>
    <row r="50" spans="2:7">
      <c r="B50" s="53">
        <v>2</v>
      </c>
      <c r="C50" s="53">
        <v>30680</v>
      </c>
      <c r="D50" s="55" t="s">
        <v>312</v>
      </c>
      <c r="E50" s="53" t="s">
        <v>62</v>
      </c>
      <c r="F50" s="56">
        <v>9440359825</v>
      </c>
      <c r="G50" s="53"/>
    </row>
    <row r="51" spans="2:7">
      <c r="B51" s="53">
        <v>3</v>
      </c>
      <c r="C51" s="53">
        <v>30681</v>
      </c>
      <c r="D51" s="55" t="s">
        <v>313</v>
      </c>
      <c r="E51" s="53" t="s">
        <v>62</v>
      </c>
      <c r="F51" s="56">
        <v>7981570764</v>
      </c>
      <c r="G51" s="53"/>
    </row>
    <row r="52" spans="2:7">
      <c r="B52" s="53">
        <v>4</v>
      </c>
      <c r="C52" s="53">
        <v>30682</v>
      </c>
      <c r="D52" s="55" t="s">
        <v>314</v>
      </c>
      <c r="E52" s="53" t="s">
        <v>62</v>
      </c>
      <c r="F52" s="56">
        <v>9515188096</v>
      </c>
      <c r="G52" s="53"/>
    </row>
    <row r="53" spans="2:7">
      <c r="B53" s="53">
        <v>5</v>
      </c>
      <c r="C53" s="53">
        <v>30685</v>
      </c>
      <c r="D53" s="55" t="s">
        <v>187</v>
      </c>
      <c r="E53" s="53" t="s">
        <v>62</v>
      </c>
      <c r="F53" s="56">
        <v>9182032471</v>
      </c>
      <c r="G53" s="53"/>
    </row>
    <row r="54" spans="2:7">
      <c r="B54" s="53">
        <v>6</v>
      </c>
      <c r="C54" s="79">
        <v>30684</v>
      </c>
      <c r="D54" s="110" t="s">
        <v>315</v>
      </c>
      <c r="E54" s="79" t="s">
        <v>62</v>
      </c>
      <c r="F54" s="80">
        <v>9652448474</v>
      </c>
      <c r="G54" s="95">
        <v>45574</v>
      </c>
    </row>
    <row r="55" spans="2:7">
      <c r="B55" s="53">
        <v>7</v>
      </c>
      <c r="C55" s="53">
        <v>30705</v>
      </c>
      <c r="D55" s="55" t="s">
        <v>288</v>
      </c>
      <c r="E55" s="53" t="s">
        <v>62</v>
      </c>
      <c r="F55" s="56">
        <v>9652448474</v>
      </c>
      <c r="G55" s="53"/>
    </row>
    <row r="56" spans="2:7">
      <c r="B56" s="79">
        <v>8</v>
      </c>
      <c r="C56" s="79">
        <v>30711</v>
      </c>
      <c r="D56" s="110" t="s">
        <v>290</v>
      </c>
      <c r="E56" s="79" t="s">
        <v>62</v>
      </c>
      <c r="F56" s="80">
        <v>8919981639</v>
      </c>
      <c r="G56" s="53" t="s">
        <v>291</v>
      </c>
    </row>
    <row r="57" spans="2:7">
      <c r="B57" s="53">
        <v>9</v>
      </c>
      <c r="C57" s="53">
        <v>30713</v>
      </c>
      <c r="D57" s="55" t="s">
        <v>292</v>
      </c>
      <c r="E57" s="53" t="s">
        <v>62</v>
      </c>
      <c r="F57" s="56">
        <v>8688185663</v>
      </c>
      <c r="G57" s="53"/>
    </row>
    <row r="58" spans="2:7">
      <c r="B58" s="53">
        <v>10</v>
      </c>
      <c r="C58" s="56">
        <v>30731</v>
      </c>
      <c r="D58" s="73" t="s">
        <v>293</v>
      </c>
      <c r="E58" s="53" t="s">
        <v>62</v>
      </c>
      <c r="F58" s="56">
        <v>9701843396</v>
      </c>
      <c r="G58" s="53"/>
    </row>
    <row r="59" spans="2:7">
      <c r="B59" s="53">
        <v>11</v>
      </c>
      <c r="C59" s="56">
        <v>30732</v>
      </c>
      <c r="D59" s="73" t="s">
        <v>316</v>
      </c>
      <c r="E59" s="53" t="s">
        <v>62</v>
      </c>
      <c r="F59" s="56">
        <v>9640630744</v>
      </c>
      <c r="G59" s="53"/>
    </row>
    <row r="60" spans="2:7">
      <c r="B60" s="53">
        <v>12</v>
      </c>
      <c r="C60" s="79">
        <v>30733</v>
      </c>
      <c r="D60" s="122" t="s">
        <v>295</v>
      </c>
      <c r="E60" s="79" t="s">
        <v>62</v>
      </c>
      <c r="F60" s="80">
        <v>9392742504</v>
      </c>
      <c r="G60" s="53"/>
    </row>
    <row r="61" spans="2:7">
      <c r="B61" s="53">
        <v>13</v>
      </c>
      <c r="C61" s="53">
        <v>30712</v>
      </c>
      <c r="D61" s="55" t="s">
        <v>296</v>
      </c>
      <c r="E61" s="53" t="s">
        <v>62</v>
      </c>
      <c r="F61" s="56">
        <v>9014280568</v>
      </c>
      <c r="G61" s="53"/>
    </row>
    <row r="62" spans="2:7">
      <c r="B62" s="84"/>
      <c r="C62" s="84"/>
      <c r="D62" s="84"/>
      <c r="E62" s="84"/>
      <c r="F62" s="81"/>
      <c r="G62" s="81"/>
    </row>
    <row r="63" spans="2:7">
      <c r="B63" s="53">
        <v>1</v>
      </c>
      <c r="C63" s="71">
        <v>2646</v>
      </c>
      <c r="D63" s="70" t="s">
        <v>245</v>
      </c>
      <c r="E63" s="68" t="s">
        <v>267</v>
      </c>
      <c r="F63" s="53">
        <v>6300035358</v>
      </c>
      <c r="G63" s="53"/>
    </row>
    <row r="64" spans="2:7">
      <c r="B64" s="53">
        <v>2</v>
      </c>
      <c r="C64" s="71">
        <v>2686</v>
      </c>
      <c r="D64" s="70" t="s">
        <v>268</v>
      </c>
      <c r="E64" s="68" t="s">
        <v>267</v>
      </c>
      <c r="F64" s="53">
        <v>8247346900</v>
      </c>
      <c r="G64" s="53"/>
    </row>
    <row r="65" spans="2:7">
      <c r="B65" s="53">
        <v>3</v>
      </c>
      <c r="C65" s="71">
        <v>2614</v>
      </c>
      <c r="D65" s="70" t="s">
        <v>269</v>
      </c>
      <c r="E65" s="68" t="s">
        <v>147</v>
      </c>
      <c r="F65" s="53">
        <v>9581958972</v>
      </c>
      <c r="G65" s="53"/>
    </row>
    <row r="66" spans="2:7">
      <c r="B66" s="53">
        <v>4</v>
      </c>
      <c r="C66" s="71">
        <v>2852</v>
      </c>
      <c r="D66" s="70" t="s">
        <v>205</v>
      </c>
      <c r="E66" s="68" t="s">
        <v>147</v>
      </c>
      <c r="F66" s="53"/>
      <c r="G66" s="53"/>
    </row>
    <row r="67" spans="2:7">
      <c r="B67" s="53">
        <v>5</v>
      </c>
      <c r="C67" s="71">
        <v>2862</v>
      </c>
      <c r="D67" s="70" t="s">
        <v>206</v>
      </c>
      <c r="E67" s="68" t="s">
        <v>147</v>
      </c>
      <c r="F67" s="53">
        <v>9966109473</v>
      </c>
      <c r="G67" s="53"/>
    </row>
    <row r="68" spans="2:7">
      <c r="G68" s="81"/>
    </row>
    <row r="70" spans="2:7">
      <c r="B70" s="53">
        <v>1</v>
      </c>
      <c r="C70" s="53">
        <v>629</v>
      </c>
      <c r="D70" s="54" t="s">
        <v>248</v>
      </c>
      <c r="E70" s="53" t="s">
        <v>270</v>
      </c>
      <c r="F70" s="53">
        <v>9502200265</v>
      </c>
    </row>
    <row r="71" spans="2:7">
      <c r="B71" s="53">
        <v>2</v>
      </c>
      <c r="C71" s="53">
        <v>2538</v>
      </c>
      <c r="D71" s="55" t="s">
        <v>271</v>
      </c>
      <c r="E71" s="53" t="s">
        <v>270</v>
      </c>
      <c r="F71" s="53">
        <v>9848526387</v>
      </c>
    </row>
    <row r="72" spans="2:7">
      <c r="B72" s="53">
        <v>3</v>
      </c>
      <c r="C72" s="53">
        <v>2613</v>
      </c>
      <c r="D72" s="54" t="s">
        <v>272</v>
      </c>
      <c r="E72" s="56" t="s">
        <v>251</v>
      </c>
      <c r="F72" s="53">
        <v>973912337</v>
      </c>
    </row>
    <row r="73" spans="2:7">
      <c r="B73" s="53">
        <v>4</v>
      </c>
      <c r="C73" s="53">
        <v>2700</v>
      </c>
      <c r="D73" s="54" t="s">
        <v>273</v>
      </c>
      <c r="E73" s="53" t="s">
        <v>251</v>
      </c>
      <c r="F73" s="53"/>
    </row>
  </sheetData>
  <mergeCells count="5">
    <mergeCell ref="B2:G2"/>
    <mergeCell ref="B3:G3"/>
    <mergeCell ref="B4:G4"/>
    <mergeCell ref="B47:G47"/>
    <mergeCell ref="B48:G48"/>
  </mergeCells>
  <conditionalFormatting sqref="C20:C21">
    <cfRule type="duplicateValues" dxfId="41" priority="2"/>
  </conditionalFormatting>
  <conditionalFormatting sqref="C23:C24">
    <cfRule type="duplicateValues" dxfId="40" priority="1"/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0"/>
  <sheetViews>
    <sheetView topLeftCell="A40" workbookViewId="0">
      <selection activeCell="B47" sqref="B47"/>
    </sheetView>
  </sheetViews>
  <sheetFormatPr defaultColWidth="9" defaultRowHeight="14.4"/>
  <cols>
    <col min="1" max="1" width="6.44140625" customWidth="1"/>
    <col min="3" max="3" width="33" customWidth="1"/>
    <col min="4" max="4" width="31.5546875" customWidth="1"/>
    <col min="5" max="5" width="17.33203125" style="1" customWidth="1"/>
    <col min="6" max="6" width="12.5546875" customWidth="1"/>
    <col min="7" max="7" width="17.5546875" customWidth="1"/>
    <col min="8" max="8" width="17.44140625" customWidth="1"/>
  </cols>
  <sheetData>
    <row r="1" spans="1:5" ht="20.100000000000001" customHeight="1">
      <c r="A1" s="514" t="s">
        <v>47</v>
      </c>
      <c r="B1" s="514"/>
      <c r="C1" s="514"/>
      <c r="D1" s="514"/>
      <c r="E1" s="514"/>
    </row>
    <row r="2" spans="1:5" ht="20.100000000000001" customHeight="1">
      <c r="A2" s="514" t="s">
        <v>274</v>
      </c>
      <c r="B2" s="514"/>
      <c r="C2" s="514"/>
      <c r="D2" s="514"/>
      <c r="E2" s="514"/>
    </row>
    <row r="3" spans="1:5" ht="3.75" customHeight="1">
      <c r="A3" s="518"/>
      <c r="B3" s="518"/>
      <c r="C3" s="518"/>
      <c r="D3" s="518"/>
      <c r="E3" s="518"/>
    </row>
    <row r="4" spans="1:5" ht="20.100000000000001" customHeight="1">
      <c r="A4" s="3" t="s">
        <v>1</v>
      </c>
      <c r="B4" s="3" t="s">
        <v>216</v>
      </c>
      <c r="C4" s="100" t="s">
        <v>3</v>
      </c>
      <c r="D4" s="3" t="s">
        <v>4</v>
      </c>
      <c r="E4" s="3"/>
    </row>
    <row r="5" spans="1:5" ht="20.100000000000001" customHeight="1">
      <c r="A5" s="53">
        <v>1</v>
      </c>
      <c r="B5" s="53">
        <v>1251</v>
      </c>
      <c r="C5" s="67" t="s">
        <v>9</v>
      </c>
      <c r="D5" s="68" t="s">
        <v>257</v>
      </c>
      <c r="E5" s="68">
        <v>9840850744</v>
      </c>
    </row>
    <row r="6" spans="1:5" ht="20.100000000000001" customHeight="1">
      <c r="A6" s="53">
        <v>2</v>
      </c>
      <c r="B6" s="53">
        <v>308</v>
      </c>
      <c r="C6" s="67" t="s">
        <v>299</v>
      </c>
      <c r="D6" s="68" t="s">
        <v>19</v>
      </c>
      <c r="E6" s="68">
        <v>9908823834</v>
      </c>
    </row>
    <row r="7" spans="1:5" ht="20.100000000000001" customHeight="1">
      <c r="A7" s="53">
        <v>3</v>
      </c>
      <c r="B7" s="53">
        <v>1182</v>
      </c>
      <c r="C7" s="70" t="s">
        <v>26</v>
      </c>
      <c r="D7" s="71" t="s">
        <v>258</v>
      </c>
      <c r="E7" s="68">
        <v>9676354404</v>
      </c>
    </row>
    <row r="8" spans="1:5" ht="20.100000000000001" customHeight="1">
      <c r="A8" s="53">
        <v>4</v>
      </c>
      <c r="B8" s="53">
        <v>2511</v>
      </c>
      <c r="C8" s="55" t="s">
        <v>109</v>
      </c>
      <c r="D8" s="71" t="s">
        <v>180</v>
      </c>
      <c r="E8" s="53">
        <v>6379772780</v>
      </c>
    </row>
    <row r="9" spans="1:5" ht="15" customHeight="1">
      <c r="A9" s="53">
        <v>5</v>
      </c>
      <c r="B9" s="53">
        <v>312</v>
      </c>
      <c r="C9" s="67" t="s">
        <v>42</v>
      </c>
      <c r="D9" s="72" t="s">
        <v>317</v>
      </c>
      <c r="E9" s="68">
        <v>8297208489</v>
      </c>
    </row>
    <row r="10" spans="1:5" ht="20.100000000000001" customHeight="1">
      <c r="A10" s="53">
        <v>6</v>
      </c>
      <c r="B10" s="53">
        <v>2090</v>
      </c>
      <c r="C10" s="54" t="s">
        <v>33</v>
      </c>
      <c r="D10" s="71" t="s">
        <v>180</v>
      </c>
      <c r="E10" s="68">
        <v>9441540580</v>
      </c>
    </row>
    <row r="11" spans="1:5" ht="20.100000000000001" customHeight="1">
      <c r="A11" s="53">
        <v>7</v>
      </c>
      <c r="B11" s="53">
        <v>2827</v>
      </c>
      <c r="C11" s="55" t="s">
        <v>279</v>
      </c>
      <c r="D11" s="71" t="s">
        <v>180</v>
      </c>
      <c r="E11" s="68">
        <v>8085575111</v>
      </c>
    </row>
    <row r="12" spans="1:5" ht="20.100000000000001" customHeight="1">
      <c r="A12" s="53">
        <v>8</v>
      </c>
      <c r="B12" s="53">
        <v>2490</v>
      </c>
      <c r="C12" s="55" t="s">
        <v>83</v>
      </c>
      <c r="D12" s="68" t="s">
        <v>157</v>
      </c>
      <c r="E12" s="53">
        <v>9848129660</v>
      </c>
    </row>
    <row r="13" spans="1:5" ht="20.100000000000001" customHeight="1">
      <c r="A13" s="53">
        <v>9</v>
      </c>
      <c r="B13" s="53">
        <v>2493</v>
      </c>
      <c r="C13" s="55" t="s">
        <v>220</v>
      </c>
      <c r="D13" s="68" t="s">
        <v>157</v>
      </c>
      <c r="E13" s="53">
        <v>8940506036</v>
      </c>
    </row>
    <row r="14" spans="1:5" ht="20.100000000000001" customHeight="1">
      <c r="A14" s="53">
        <v>10</v>
      </c>
      <c r="B14" s="53">
        <v>2499</v>
      </c>
      <c r="C14" s="152" t="s">
        <v>221</v>
      </c>
      <c r="D14" s="68" t="s">
        <v>157</v>
      </c>
      <c r="E14" s="53">
        <v>9994476533</v>
      </c>
    </row>
    <row r="15" spans="1:5" ht="20.100000000000001" customHeight="1">
      <c r="A15" s="53">
        <v>11</v>
      </c>
      <c r="B15" s="53">
        <v>2501</v>
      </c>
      <c r="C15" s="55" t="s">
        <v>101</v>
      </c>
      <c r="D15" s="68" t="s">
        <v>157</v>
      </c>
      <c r="E15" s="53">
        <v>9848052474</v>
      </c>
    </row>
    <row r="16" spans="1:5" ht="20.100000000000001" customHeight="1">
      <c r="A16" s="53">
        <v>12</v>
      </c>
      <c r="B16" s="53">
        <v>2541</v>
      </c>
      <c r="C16" s="54" t="s">
        <v>127</v>
      </c>
      <c r="D16" s="68" t="s">
        <v>157</v>
      </c>
      <c r="E16" s="53">
        <v>7981738522</v>
      </c>
    </row>
    <row r="17" spans="1:5" ht="20.100000000000001" customHeight="1">
      <c r="A17" s="53">
        <v>13</v>
      </c>
      <c r="B17" s="53">
        <v>2721</v>
      </c>
      <c r="C17" s="54" t="s">
        <v>156</v>
      </c>
      <c r="D17" s="68" t="s">
        <v>157</v>
      </c>
      <c r="E17" s="53">
        <v>9094802495</v>
      </c>
    </row>
    <row r="18" spans="1:5" ht="20.100000000000001" customHeight="1">
      <c r="A18" s="53">
        <v>14</v>
      </c>
      <c r="B18" s="53">
        <v>540</v>
      </c>
      <c r="C18" s="67" t="s">
        <v>49</v>
      </c>
      <c r="D18" s="71" t="s">
        <v>68</v>
      </c>
      <c r="E18" s="68">
        <v>9550367172</v>
      </c>
    </row>
    <row r="19" spans="1:5" ht="20.100000000000001" customHeight="1">
      <c r="A19" s="53">
        <v>15</v>
      </c>
      <c r="B19" s="53">
        <v>1181</v>
      </c>
      <c r="C19" s="70" t="s">
        <v>55</v>
      </c>
      <c r="D19" s="71" t="s">
        <v>68</v>
      </c>
      <c r="E19" s="68">
        <v>9493670612</v>
      </c>
    </row>
    <row r="20" spans="1:5" ht="20.100000000000001" customHeight="1">
      <c r="A20" s="53">
        <v>16</v>
      </c>
      <c r="B20" s="53">
        <v>1243</v>
      </c>
      <c r="C20" s="70" t="s">
        <v>58</v>
      </c>
      <c r="D20" s="71" t="s">
        <v>68</v>
      </c>
      <c r="E20" s="68">
        <v>8790166779</v>
      </c>
    </row>
    <row r="21" spans="1:5" ht="20.100000000000001" customHeight="1">
      <c r="A21" s="53">
        <v>17</v>
      </c>
      <c r="B21" s="53">
        <v>2432</v>
      </c>
      <c r="C21" s="54" t="s">
        <v>280</v>
      </c>
      <c r="D21" s="71" t="s">
        <v>68</v>
      </c>
      <c r="E21" s="53">
        <v>7093243607</v>
      </c>
    </row>
    <row r="22" spans="1:5" ht="20.100000000000001" customHeight="1">
      <c r="A22" s="53">
        <v>18</v>
      </c>
      <c r="B22" s="75" t="s">
        <v>66</v>
      </c>
      <c r="C22" s="70" t="s">
        <v>67</v>
      </c>
      <c r="D22" s="71" t="s">
        <v>68</v>
      </c>
      <c r="E22" s="53">
        <v>9614547390</v>
      </c>
    </row>
    <row r="23" spans="1:5" ht="20.100000000000001" customHeight="1">
      <c r="A23" s="53">
        <v>19</v>
      </c>
      <c r="B23" s="53">
        <v>2454</v>
      </c>
      <c r="C23" s="54" t="s">
        <v>318</v>
      </c>
      <c r="D23" s="71" t="s">
        <v>68</v>
      </c>
      <c r="E23" s="53">
        <v>7729990303</v>
      </c>
    </row>
    <row r="24" spans="1:5" ht="20.100000000000001" customHeight="1">
      <c r="A24" s="53">
        <v>20</v>
      </c>
      <c r="B24" s="53">
        <v>2502</v>
      </c>
      <c r="C24" s="55" t="s">
        <v>107</v>
      </c>
      <c r="D24" s="71" t="s">
        <v>68</v>
      </c>
      <c r="E24" s="53">
        <v>9600605782</v>
      </c>
    </row>
    <row r="25" spans="1:5" ht="20.100000000000001" customHeight="1">
      <c r="A25" s="53">
        <v>21</v>
      </c>
      <c r="B25" s="53">
        <v>2514</v>
      </c>
      <c r="C25" s="55" t="s">
        <v>113</v>
      </c>
      <c r="D25" s="71" t="s">
        <v>68</v>
      </c>
      <c r="E25" s="53">
        <v>9500312191</v>
      </c>
    </row>
    <row r="26" spans="1:5" ht="20.100000000000001" customHeight="1">
      <c r="A26" s="53">
        <v>22</v>
      </c>
      <c r="B26" s="53">
        <v>2519</v>
      </c>
      <c r="C26" s="55" t="s">
        <v>120</v>
      </c>
      <c r="D26" s="71" t="s">
        <v>68</v>
      </c>
      <c r="E26" s="71">
        <v>8978116834</v>
      </c>
    </row>
    <row r="27" spans="1:5" ht="20.100000000000001" customHeight="1">
      <c r="A27" s="53">
        <v>23</v>
      </c>
      <c r="B27" s="71">
        <v>2637</v>
      </c>
      <c r="C27" s="70" t="s">
        <v>261</v>
      </c>
      <c r="D27" s="71" t="s">
        <v>68</v>
      </c>
      <c r="E27" s="53">
        <v>9706631085</v>
      </c>
    </row>
    <row r="28" spans="1:5" ht="20.100000000000001" customHeight="1">
      <c r="A28" s="53">
        <v>24</v>
      </c>
      <c r="B28" s="71">
        <v>2689</v>
      </c>
      <c r="C28" s="70" t="s">
        <v>154</v>
      </c>
      <c r="D28" s="71" t="s">
        <v>68</v>
      </c>
      <c r="E28" s="53">
        <v>9668112717</v>
      </c>
    </row>
    <row r="29" spans="1:5" ht="20.100000000000001" customHeight="1">
      <c r="A29" s="53">
        <v>25</v>
      </c>
      <c r="B29" s="53">
        <v>2693</v>
      </c>
      <c r="C29" s="55" t="s">
        <v>300</v>
      </c>
      <c r="D29" s="71" t="s">
        <v>68</v>
      </c>
      <c r="E29" s="53">
        <v>9094802494</v>
      </c>
    </row>
    <row r="30" spans="1:5" ht="20.100000000000001" customHeight="1">
      <c r="A30" s="53">
        <v>26</v>
      </c>
      <c r="B30" s="111">
        <v>2680</v>
      </c>
      <c r="C30" s="153" t="s">
        <v>262</v>
      </c>
      <c r="D30" s="111" t="s">
        <v>68</v>
      </c>
      <c r="E30" s="79">
        <v>9840972744</v>
      </c>
    </row>
    <row r="31" spans="1:5" ht="20.100000000000001" customHeight="1">
      <c r="A31" s="53">
        <v>27</v>
      </c>
      <c r="B31" s="53">
        <v>2728</v>
      </c>
      <c r="C31" s="55" t="s">
        <v>163</v>
      </c>
      <c r="D31" s="71" t="s">
        <v>68</v>
      </c>
      <c r="E31" s="53">
        <v>7981960066</v>
      </c>
    </row>
    <row r="32" spans="1:5" ht="20.100000000000001" customHeight="1">
      <c r="A32" s="53">
        <v>28</v>
      </c>
      <c r="B32" s="53">
        <v>2765</v>
      </c>
      <c r="C32" s="54" t="s">
        <v>168</v>
      </c>
      <c r="D32" s="71" t="s">
        <v>68</v>
      </c>
      <c r="E32" s="53">
        <v>9788682940</v>
      </c>
    </row>
    <row r="33" spans="1:6" ht="20.100000000000001" customHeight="1">
      <c r="A33" s="53">
        <v>29</v>
      </c>
      <c r="B33" s="53">
        <v>2812</v>
      </c>
      <c r="C33" s="77" t="s">
        <v>301</v>
      </c>
      <c r="D33" s="71" t="s">
        <v>68</v>
      </c>
      <c r="E33" s="53">
        <v>7731063177</v>
      </c>
    </row>
    <row r="34" spans="1:6" ht="20.100000000000001" customHeight="1">
      <c r="A34" s="53">
        <v>30</v>
      </c>
      <c r="B34" s="53">
        <v>2814</v>
      </c>
      <c r="C34" s="77" t="s">
        <v>302</v>
      </c>
      <c r="D34" s="71" t="s">
        <v>68</v>
      </c>
      <c r="E34" s="53">
        <v>8056033643</v>
      </c>
    </row>
    <row r="35" spans="1:6" ht="20.100000000000001" customHeight="1">
      <c r="A35" s="53">
        <v>31</v>
      </c>
      <c r="B35" s="53">
        <v>2512</v>
      </c>
      <c r="C35" s="54" t="s">
        <v>189</v>
      </c>
      <c r="D35" s="71" t="s">
        <v>68</v>
      </c>
      <c r="E35" s="53">
        <v>9292709507</v>
      </c>
    </row>
    <row r="36" spans="1:6" ht="20.100000000000001" customHeight="1">
      <c r="A36" s="53">
        <v>32</v>
      </c>
      <c r="B36" s="53">
        <v>2898</v>
      </c>
      <c r="C36" s="73" t="s">
        <v>190</v>
      </c>
      <c r="D36" s="71" t="s">
        <v>68</v>
      </c>
      <c r="E36" s="53">
        <v>9989895732</v>
      </c>
    </row>
    <row r="37" spans="1:6" ht="20.100000000000001" customHeight="1">
      <c r="A37" s="53">
        <v>33</v>
      </c>
      <c r="B37" s="53">
        <v>2921</v>
      </c>
      <c r="C37" s="69" t="s">
        <v>191</v>
      </c>
      <c r="D37" s="71" t="s">
        <v>192</v>
      </c>
      <c r="E37" s="154">
        <v>9014766760</v>
      </c>
      <c r="F37" s="63">
        <v>45580</v>
      </c>
    </row>
    <row r="38" spans="1:6" ht="20.100000000000001" customHeight="1">
      <c r="A38" s="53">
        <v>34</v>
      </c>
      <c r="B38" s="53">
        <v>2934</v>
      </c>
      <c r="C38" s="69" t="s">
        <v>319</v>
      </c>
      <c r="D38" s="71" t="s">
        <v>68</v>
      </c>
      <c r="E38" s="154">
        <v>9440664462</v>
      </c>
      <c r="F38" s="63">
        <v>45600</v>
      </c>
    </row>
    <row r="39" spans="1:6" ht="20.100000000000001" customHeight="1">
      <c r="A39" s="53">
        <v>35</v>
      </c>
      <c r="B39" s="53">
        <v>2936</v>
      </c>
      <c r="C39" s="69" t="s">
        <v>197</v>
      </c>
      <c r="D39" s="71" t="s">
        <v>198</v>
      </c>
      <c r="E39" s="154">
        <v>8125544167</v>
      </c>
      <c r="F39" s="63">
        <v>45600</v>
      </c>
    </row>
    <row r="40" spans="1:6" ht="20.100000000000001" customHeight="1">
      <c r="A40" s="53">
        <v>36</v>
      </c>
      <c r="B40" s="53">
        <v>30410</v>
      </c>
      <c r="C40" s="55" t="s">
        <v>304</v>
      </c>
      <c r="D40" s="53" t="s">
        <v>62</v>
      </c>
      <c r="E40" s="53">
        <v>7995622962</v>
      </c>
    </row>
    <row r="41" spans="1:6" ht="20.100000000000001" customHeight="1">
      <c r="A41" s="53">
        <v>37</v>
      </c>
      <c r="B41" s="53">
        <v>633</v>
      </c>
      <c r="C41" s="54" t="s">
        <v>305</v>
      </c>
      <c r="D41" s="53" t="s">
        <v>320</v>
      </c>
      <c r="E41" s="53">
        <v>9494678628</v>
      </c>
    </row>
    <row r="42" spans="1:6" ht="20.100000000000001" customHeight="1">
      <c r="A42" s="53">
        <v>38</v>
      </c>
      <c r="B42" s="53">
        <v>2285</v>
      </c>
      <c r="C42" s="54" t="s">
        <v>306</v>
      </c>
      <c r="D42" s="53" t="s">
        <v>321</v>
      </c>
      <c r="E42" s="53">
        <v>9640066261</v>
      </c>
    </row>
    <row r="43" spans="1:6" ht="20.100000000000001" customHeight="1">
      <c r="A43" s="53">
        <v>39</v>
      </c>
      <c r="B43" s="53">
        <v>2826</v>
      </c>
      <c r="C43" s="55" t="s">
        <v>178</v>
      </c>
      <c r="D43" s="53" t="s">
        <v>62</v>
      </c>
      <c r="E43" s="53">
        <v>9542588470</v>
      </c>
    </row>
    <row r="44" spans="1:6" ht="20.100000000000001" customHeight="1">
      <c r="A44" s="53">
        <v>40</v>
      </c>
      <c r="B44" s="53">
        <v>2899</v>
      </c>
      <c r="C44" s="55" t="s">
        <v>307</v>
      </c>
      <c r="D44" s="53" t="s">
        <v>62</v>
      </c>
      <c r="E44" s="53">
        <v>8765540772</v>
      </c>
    </row>
    <row r="45" spans="1:6" ht="20.100000000000001" customHeight="1">
      <c r="A45" s="53">
        <v>41</v>
      </c>
      <c r="B45" s="53">
        <v>30744</v>
      </c>
      <c r="C45" s="55" t="s">
        <v>308</v>
      </c>
      <c r="D45" s="53" t="s">
        <v>309</v>
      </c>
      <c r="E45" s="53">
        <v>8790500801</v>
      </c>
    </row>
    <row r="46" spans="1:6" ht="20.100000000000001" customHeight="1">
      <c r="A46" s="53">
        <v>42</v>
      </c>
      <c r="B46" s="53">
        <v>30664</v>
      </c>
      <c r="C46" s="55" t="s">
        <v>282</v>
      </c>
      <c r="D46" s="53" t="s">
        <v>283</v>
      </c>
      <c r="E46" s="53">
        <v>9489953432</v>
      </c>
    </row>
    <row r="47" spans="1:6" ht="20.100000000000001" customHeight="1">
      <c r="A47" s="53">
        <v>43</v>
      </c>
      <c r="B47" s="79">
        <v>2920</v>
      </c>
      <c r="C47" s="110" t="s">
        <v>322</v>
      </c>
      <c r="D47" s="79" t="s">
        <v>62</v>
      </c>
      <c r="E47" s="79">
        <v>8610711060</v>
      </c>
    </row>
    <row r="48" spans="1:6" ht="20.100000000000001" customHeight="1">
      <c r="A48" s="53">
        <v>44</v>
      </c>
      <c r="B48" s="53">
        <v>2925</v>
      </c>
      <c r="C48" s="69" t="s">
        <v>200</v>
      </c>
      <c r="D48" s="53" t="s">
        <v>62</v>
      </c>
      <c r="E48" s="154">
        <v>7995794652</v>
      </c>
      <c r="F48" s="63">
        <v>45582</v>
      </c>
    </row>
    <row r="49" spans="1:9" ht="29.25" customHeight="1">
      <c r="A49" s="53"/>
      <c r="B49" s="115"/>
      <c r="C49" s="115"/>
      <c r="D49" s="115"/>
      <c r="E49" s="149"/>
    </row>
    <row r="50" spans="1:9" ht="20.100000000000001" customHeight="1">
      <c r="A50" s="53">
        <v>1</v>
      </c>
      <c r="B50" s="53">
        <v>30683</v>
      </c>
      <c r="C50" s="55" t="s">
        <v>183</v>
      </c>
      <c r="D50" s="53" t="s">
        <v>62</v>
      </c>
      <c r="E50" s="56">
        <v>7075547599</v>
      </c>
      <c r="G50">
        <v>359</v>
      </c>
      <c r="H50">
        <v>42</v>
      </c>
    </row>
    <row r="51" spans="1:9" ht="20.100000000000001" customHeight="1">
      <c r="A51" s="53">
        <v>2</v>
      </c>
      <c r="B51" s="79">
        <v>30680</v>
      </c>
      <c r="C51" s="110" t="s">
        <v>184</v>
      </c>
      <c r="D51" s="79" t="s">
        <v>62</v>
      </c>
      <c r="E51" s="80">
        <v>9440359825</v>
      </c>
      <c r="F51" s="63">
        <v>45603</v>
      </c>
      <c r="G51">
        <v>155</v>
      </c>
      <c r="H51">
        <v>11</v>
      </c>
    </row>
    <row r="52" spans="1:9" ht="20.100000000000001" customHeight="1">
      <c r="A52" s="53">
        <v>3</v>
      </c>
      <c r="B52" s="53">
        <v>30681</v>
      </c>
      <c r="C52" s="55" t="s">
        <v>185</v>
      </c>
      <c r="D52" s="53" t="s">
        <v>62</v>
      </c>
      <c r="E52" s="56">
        <v>7981570764</v>
      </c>
      <c r="G52">
        <v>106</v>
      </c>
      <c r="H52">
        <v>6</v>
      </c>
    </row>
    <row r="53" spans="1:9" ht="20.100000000000001" customHeight="1">
      <c r="A53" s="53">
        <v>4</v>
      </c>
      <c r="B53" s="53">
        <v>30682</v>
      </c>
      <c r="C53" s="55" t="s">
        <v>186</v>
      </c>
      <c r="D53" s="53" t="s">
        <v>62</v>
      </c>
      <c r="E53" s="56">
        <v>9515188096</v>
      </c>
      <c r="G53">
        <v>61</v>
      </c>
      <c r="H53">
        <v>4</v>
      </c>
    </row>
    <row r="54" spans="1:9" ht="20.100000000000001" customHeight="1">
      <c r="A54" s="53">
        <v>5</v>
      </c>
      <c r="B54" s="53">
        <v>30685</v>
      </c>
      <c r="C54" s="55" t="s">
        <v>187</v>
      </c>
      <c r="D54" s="53" t="s">
        <v>62</v>
      </c>
      <c r="E54" s="56">
        <v>9182032471</v>
      </c>
      <c r="G54">
        <v>61</v>
      </c>
      <c r="H54">
        <f>SUM(H50:H53)</f>
        <v>63</v>
      </c>
    </row>
    <row r="55" spans="1:9" ht="20.100000000000001" customHeight="1">
      <c r="A55" s="53">
        <v>6</v>
      </c>
      <c r="B55" s="79">
        <v>30705</v>
      </c>
      <c r="C55" s="110" t="s">
        <v>288</v>
      </c>
      <c r="D55" s="79" t="s">
        <v>62</v>
      </c>
      <c r="E55" s="80">
        <v>7569439852</v>
      </c>
      <c r="G55">
        <v>62</v>
      </c>
    </row>
    <row r="56" spans="1:9" ht="20.100000000000001" customHeight="1">
      <c r="A56" s="53">
        <v>7</v>
      </c>
      <c r="B56" s="79">
        <v>30713</v>
      </c>
      <c r="C56" s="110" t="s">
        <v>292</v>
      </c>
      <c r="D56" s="79" t="s">
        <v>62</v>
      </c>
      <c r="E56" s="80">
        <v>8688185663</v>
      </c>
      <c r="G56">
        <v>28</v>
      </c>
    </row>
    <row r="57" spans="1:9" ht="20.100000000000001" customHeight="1">
      <c r="A57" s="53">
        <v>8</v>
      </c>
      <c r="B57" s="56">
        <v>30731</v>
      </c>
      <c r="C57" s="73" t="s">
        <v>293</v>
      </c>
      <c r="D57" s="53" t="s">
        <v>62</v>
      </c>
      <c r="E57" s="56">
        <v>9701843396</v>
      </c>
      <c r="G57">
        <v>31</v>
      </c>
      <c r="H57">
        <v>20</v>
      </c>
    </row>
    <row r="58" spans="1:9" ht="20.100000000000001" customHeight="1">
      <c r="A58" s="53">
        <v>9</v>
      </c>
      <c r="B58" s="80">
        <v>30732</v>
      </c>
      <c r="C58" s="122" t="s">
        <v>294</v>
      </c>
      <c r="D58" s="79" t="s">
        <v>62</v>
      </c>
      <c r="E58" s="80">
        <v>9640630744</v>
      </c>
      <c r="F58" s="63">
        <v>45598</v>
      </c>
      <c r="G58">
        <v>29</v>
      </c>
      <c r="H58">
        <v>63</v>
      </c>
    </row>
    <row r="59" spans="1:9" ht="20.100000000000001" customHeight="1">
      <c r="A59" s="53">
        <v>10</v>
      </c>
      <c r="B59" s="79">
        <v>30733</v>
      </c>
      <c r="C59" s="122" t="s">
        <v>295</v>
      </c>
      <c r="D59" s="79" t="s">
        <v>62</v>
      </c>
      <c r="E59" s="80">
        <v>9392742504</v>
      </c>
      <c r="G59">
        <v>94</v>
      </c>
      <c r="H59">
        <f>SUM(H57:H58)</f>
        <v>83</v>
      </c>
    </row>
    <row r="60" spans="1:9" ht="20.100000000000001" customHeight="1">
      <c r="A60" s="53">
        <v>11</v>
      </c>
      <c r="B60" s="79">
        <v>30712</v>
      </c>
      <c r="C60" s="110" t="s">
        <v>296</v>
      </c>
      <c r="D60" s="79" t="s">
        <v>62</v>
      </c>
      <c r="E60" s="80">
        <v>9014280568</v>
      </c>
      <c r="F60" s="63">
        <v>45598</v>
      </c>
      <c r="G60">
        <v>55</v>
      </c>
    </row>
    <row r="61" spans="1:9" ht="20.100000000000001" customHeight="1">
      <c r="A61" s="84"/>
      <c r="E61" s="81"/>
      <c r="G61">
        <f>SUM(G50:G60)</f>
        <v>1041</v>
      </c>
      <c r="H61">
        <v>83</v>
      </c>
      <c r="I61">
        <f>SUM(G61:H61)</f>
        <v>1124</v>
      </c>
    </row>
    <row r="62" spans="1:9" ht="20.100000000000001" customHeight="1">
      <c r="A62" s="518" t="s">
        <v>323</v>
      </c>
      <c r="B62" s="518"/>
      <c r="C62" s="518"/>
      <c r="D62" s="518"/>
      <c r="E62" s="518"/>
    </row>
    <row r="63" spans="1:9" ht="20.100000000000001" customHeight="1">
      <c r="A63" s="53">
        <v>1</v>
      </c>
      <c r="B63" s="71">
        <v>2646</v>
      </c>
      <c r="C63" s="70" t="s">
        <v>245</v>
      </c>
      <c r="D63" s="68" t="s">
        <v>267</v>
      </c>
      <c r="E63" s="53">
        <v>6300035358</v>
      </c>
    </row>
    <row r="64" spans="1:9" ht="20.100000000000001" customHeight="1">
      <c r="A64" s="53">
        <v>2</v>
      </c>
      <c r="B64" s="71">
        <v>2686</v>
      </c>
      <c r="C64" s="70" t="s">
        <v>268</v>
      </c>
      <c r="D64" s="68" t="s">
        <v>267</v>
      </c>
      <c r="E64" s="53">
        <v>8247346900</v>
      </c>
    </row>
    <row r="65" spans="1:9" ht="20.100000000000001" customHeight="1">
      <c r="A65" s="53">
        <v>3</v>
      </c>
      <c r="B65" s="71">
        <v>2614</v>
      </c>
      <c r="C65" s="70" t="s">
        <v>269</v>
      </c>
      <c r="D65" s="68" t="s">
        <v>147</v>
      </c>
      <c r="E65" s="53">
        <v>9581958972</v>
      </c>
    </row>
    <row r="66" spans="1:9" ht="20.100000000000001" customHeight="1">
      <c r="A66" s="53">
        <v>4</v>
      </c>
      <c r="B66" s="71">
        <v>2852</v>
      </c>
      <c r="C66" s="70" t="s">
        <v>205</v>
      </c>
      <c r="D66" s="68" t="s">
        <v>147</v>
      </c>
      <c r="E66" s="53">
        <v>7981683088</v>
      </c>
      <c r="H66">
        <v>9989262908</v>
      </c>
      <c r="I66" t="s">
        <v>324</v>
      </c>
    </row>
    <row r="67" spans="1:9" ht="20.100000000000001" customHeight="1">
      <c r="A67" s="53">
        <v>5</v>
      </c>
      <c r="B67" s="71">
        <v>2862</v>
      </c>
      <c r="C67" s="70" t="s">
        <v>206</v>
      </c>
      <c r="D67" s="68" t="s">
        <v>147</v>
      </c>
      <c r="E67" s="53">
        <v>9966109473</v>
      </c>
    </row>
    <row r="68" spans="1:9" ht="20.100000000000001" customHeight="1">
      <c r="A68" s="53">
        <v>6</v>
      </c>
      <c r="B68" s="71">
        <v>2932</v>
      </c>
      <c r="C68" s="70" t="s">
        <v>207</v>
      </c>
      <c r="D68" s="68" t="s">
        <v>147</v>
      </c>
      <c r="E68" s="53">
        <v>7672052900</v>
      </c>
      <c r="F68" s="63">
        <v>45597</v>
      </c>
    </row>
    <row r="69" spans="1:9" ht="20.100000000000001" customHeight="1">
      <c r="A69" s="53">
        <v>7</v>
      </c>
      <c r="B69" s="71">
        <v>2935</v>
      </c>
      <c r="C69" s="70" t="s">
        <v>208</v>
      </c>
      <c r="D69" s="68" t="s">
        <v>147</v>
      </c>
      <c r="E69" s="53">
        <v>9948686959</v>
      </c>
      <c r="F69" s="63">
        <v>45600</v>
      </c>
    </row>
    <row r="70" spans="1:9" ht="20.100000000000001" customHeight="1">
      <c r="A70" s="81"/>
    </row>
    <row r="71" spans="1:9" ht="20.100000000000001" customHeight="1">
      <c r="A71" s="81"/>
      <c r="B71" s="86"/>
      <c r="C71" s="151"/>
      <c r="D71" s="88"/>
      <c r="E71" s="81"/>
    </row>
    <row r="72" spans="1:9" ht="20.100000000000001" customHeight="1">
      <c r="A72" s="87"/>
      <c r="B72" s="87"/>
      <c r="C72" s="87"/>
      <c r="D72" s="87"/>
      <c r="E72" s="82"/>
    </row>
    <row r="73" spans="1:9" ht="20.100000000000001" customHeight="1">
      <c r="A73" s="529" t="s">
        <v>325</v>
      </c>
      <c r="B73" s="529"/>
      <c r="C73" s="529"/>
      <c r="D73" s="529"/>
      <c r="E73" s="529"/>
    </row>
    <row r="74" spans="1:9" ht="20.100000000000001" customHeight="1">
      <c r="A74" s="53">
        <v>1</v>
      </c>
      <c r="B74" s="53">
        <v>629</v>
      </c>
      <c r="C74" s="54" t="s">
        <v>248</v>
      </c>
      <c r="D74" s="53" t="s">
        <v>270</v>
      </c>
      <c r="E74" s="53">
        <v>9502200265</v>
      </c>
    </row>
    <row r="75" spans="1:9" ht="20.100000000000001" customHeight="1">
      <c r="A75" s="53">
        <v>2</v>
      </c>
      <c r="B75" s="53">
        <v>2538</v>
      </c>
      <c r="C75" s="55" t="s">
        <v>271</v>
      </c>
      <c r="D75" s="53" t="s">
        <v>270</v>
      </c>
      <c r="E75" s="53">
        <v>9848526387</v>
      </c>
    </row>
    <row r="76" spans="1:9" ht="20.100000000000001" customHeight="1">
      <c r="A76" s="53">
        <v>3</v>
      </c>
      <c r="B76" s="53">
        <v>2613</v>
      </c>
      <c r="C76" s="54" t="s">
        <v>272</v>
      </c>
      <c r="D76" s="56" t="s">
        <v>251</v>
      </c>
      <c r="E76" s="53">
        <v>973912337</v>
      </c>
    </row>
    <row r="77" spans="1:9" ht="20.100000000000001" customHeight="1">
      <c r="A77" s="53">
        <v>4</v>
      </c>
      <c r="B77" s="53">
        <v>2700</v>
      </c>
      <c r="C77" s="54" t="s">
        <v>273</v>
      </c>
      <c r="D77" s="53" t="s">
        <v>251</v>
      </c>
      <c r="E77" s="53"/>
    </row>
    <row r="78" spans="1:9" ht="20.100000000000001" customHeight="1"/>
    <row r="79" spans="1:9" ht="20.100000000000001" customHeight="1"/>
    <row r="80" spans="1:9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</sheetData>
  <mergeCells count="5">
    <mergeCell ref="A1:E1"/>
    <mergeCell ref="A2:E2"/>
    <mergeCell ref="A3:E3"/>
    <mergeCell ref="A62:E62"/>
    <mergeCell ref="A73:E73"/>
  </mergeCells>
  <conditionalFormatting sqref="B19:B20">
    <cfRule type="duplicateValues" dxfId="39" priority="4"/>
  </conditionalFormatting>
  <conditionalFormatting sqref="B22:B23">
    <cfRule type="duplicateValues" dxfId="38" priority="3"/>
  </conditionalFormatting>
  <pageMargins left="0.70866141732283505" right="0.70866141732283505" top="0.74803149606299202" bottom="0.74803149606299202" header="0.31496062992126" footer="0.31496062992126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0"/>
  <sheetViews>
    <sheetView topLeftCell="A61" zoomScale="110" zoomScaleNormal="110" workbookViewId="0">
      <selection activeCell="H43" sqref="H43"/>
    </sheetView>
  </sheetViews>
  <sheetFormatPr defaultColWidth="9" defaultRowHeight="14.4"/>
  <cols>
    <col min="1" max="1" width="7.5546875" customWidth="1"/>
    <col min="2" max="2" width="8.33203125" customWidth="1"/>
    <col min="3" max="3" width="39.44140625" customWidth="1"/>
    <col min="4" max="4" width="32" customWidth="1"/>
    <col min="5" max="5" width="14.33203125" customWidth="1"/>
  </cols>
  <sheetData>
    <row r="1" spans="1:5" ht="20.100000000000001" customHeight="1">
      <c r="A1" s="514" t="s">
        <v>47</v>
      </c>
      <c r="B1" s="514"/>
      <c r="C1" s="514"/>
      <c r="D1" s="514"/>
      <c r="E1" s="514"/>
    </row>
    <row r="2" spans="1:5" ht="10.5" customHeight="1">
      <c r="A2" s="514" t="s">
        <v>274</v>
      </c>
      <c r="B2" s="514"/>
      <c r="C2" s="514"/>
      <c r="D2" s="514"/>
      <c r="E2" s="514"/>
    </row>
    <row r="3" spans="1:5" ht="8.25" customHeight="1">
      <c r="A3" s="518"/>
      <c r="B3" s="518"/>
      <c r="C3" s="518"/>
      <c r="D3" s="518"/>
      <c r="E3" s="518"/>
    </row>
    <row r="4" spans="1:5" ht="20.100000000000001" customHeight="1">
      <c r="A4" s="3" t="s">
        <v>1</v>
      </c>
      <c r="B4" s="3" t="s">
        <v>216</v>
      </c>
      <c r="C4" s="100" t="s">
        <v>3</v>
      </c>
      <c r="D4" s="3" t="s">
        <v>4</v>
      </c>
      <c r="E4" s="3" t="s">
        <v>326</v>
      </c>
    </row>
    <row r="5" spans="1:5" ht="17.25" customHeight="1">
      <c r="A5" s="53">
        <v>1</v>
      </c>
      <c r="B5" s="53">
        <v>1251</v>
      </c>
      <c r="C5" s="67" t="s">
        <v>9</v>
      </c>
      <c r="D5" s="68" t="s">
        <v>257</v>
      </c>
      <c r="E5" s="68">
        <v>9840850744</v>
      </c>
    </row>
    <row r="6" spans="1:5" ht="17.25" customHeight="1">
      <c r="A6" s="53">
        <v>2</v>
      </c>
      <c r="B6" s="53">
        <v>308</v>
      </c>
      <c r="C6" s="67" t="s">
        <v>299</v>
      </c>
      <c r="D6" s="68" t="s">
        <v>19</v>
      </c>
      <c r="E6" s="68">
        <v>9908823834</v>
      </c>
    </row>
    <row r="7" spans="1:5" ht="17.25" customHeight="1">
      <c r="A7" s="53">
        <v>3</v>
      </c>
      <c r="B7" s="53">
        <v>1182</v>
      </c>
      <c r="C7" s="70" t="s">
        <v>26</v>
      </c>
      <c r="D7" s="71" t="s">
        <v>258</v>
      </c>
      <c r="E7" s="68">
        <v>9676354404</v>
      </c>
    </row>
    <row r="8" spans="1:5" ht="17.25" customHeight="1">
      <c r="A8" s="53">
        <v>4</v>
      </c>
      <c r="B8" s="53">
        <v>2511</v>
      </c>
      <c r="C8" s="55" t="s">
        <v>109</v>
      </c>
      <c r="D8" s="71" t="s">
        <v>180</v>
      </c>
      <c r="E8" s="53">
        <v>6379772780</v>
      </c>
    </row>
    <row r="9" spans="1:5" ht="15" customHeight="1">
      <c r="A9" s="53">
        <v>5</v>
      </c>
      <c r="B9" s="53">
        <v>312</v>
      </c>
      <c r="C9" s="67" t="s">
        <v>42</v>
      </c>
      <c r="D9" s="72" t="s">
        <v>317</v>
      </c>
      <c r="E9" s="68">
        <v>8297208489</v>
      </c>
    </row>
    <row r="10" spans="1:5" ht="17.25" customHeight="1">
      <c r="A10" s="53">
        <v>6</v>
      </c>
      <c r="B10" s="53">
        <v>2090</v>
      </c>
      <c r="C10" s="54" t="s">
        <v>33</v>
      </c>
      <c r="D10" s="71" t="s">
        <v>180</v>
      </c>
      <c r="E10" s="68">
        <v>9441540580</v>
      </c>
    </row>
    <row r="11" spans="1:5" ht="17.25" customHeight="1">
      <c r="A11" s="53">
        <v>7</v>
      </c>
      <c r="B11" s="53">
        <v>2827</v>
      </c>
      <c r="C11" s="55" t="s">
        <v>279</v>
      </c>
      <c r="D11" s="71" t="s">
        <v>180</v>
      </c>
      <c r="E11" s="68">
        <v>8085575111</v>
      </c>
    </row>
    <row r="12" spans="1:5" ht="17.25" customHeight="1">
      <c r="A12" s="53">
        <v>8</v>
      </c>
      <c r="B12" s="53">
        <v>2490</v>
      </c>
      <c r="C12" s="55" t="s">
        <v>83</v>
      </c>
      <c r="D12" s="68" t="s">
        <v>157</v>
      </c>
      <c r="E12" s="53">
        <v>9848129660</v>
      </c>
    </row>
    <row r="13" spans="1:5" ht="17.25" customHeight="1">
      <c r="A13" s="53">
        <v>9</v>
      </c>
      <c r="B13" s="53">
        <v>2493</v>
      </c>
      <c r="C13" s="55" t="s">
        <v>220</v>
      </c>
      <c r="D13" s="68" t="s">
        <v>157</v>
      </c>
      <c r="E13" s="53">
        <v>8940506036</v>
      </c>
    </row>
    <row r="14" spans="1:5" ht="17.25" customHeight="1">
      <c r="A14" s="53">
        <v>10</v>
      </c>
      <c r="B14" s="53">
        <v>2499</v>
      </c>
      <c r="C14" s="87" t="s">
        <v>221</v>
      </c>
      <c r="D14" s="68" t="s">
        <v>157</v>
      </c>
      <c r="E14" s="53">
        <v>9994476533</v>
      </c>
    </row>
    <row r="15" spans="1:5" ht="17.25" customHeight="1">
      <c r="A15" s="53">
        <v>11</v>
      </c>
      <c r="B15" s="53">
        <v>2501</v>
      </c>
      <c r="C15" s="55" t="s">
        <v>101</v>
      </c>
      <c r="D15" s="68" t="s">
        <v>157</v>
      </c>
      <c r="E15" s="53">
        <v>9848052474</v>
      </c>
    </row>
    <row r="16" spans="1:5" ht="17.25" customHeight="1">
      <c r="A16" s="53">
        <v>12</v>
      </c>
      <c r="B16" s="53">
        <v>2541</v>
      </c>
      <c r="C16" s="54" t="s">
        <v>127</v>
      </c>
      <c r="D16" s="68" t="s">
        <v>157</v>
      </c>
      <c r="E16" s="53">
        <v>7981738522</v>
      </c>
    </row>
    <row r="17" spans="1:5" ht="17.25" customHeight="1">
      <c r="A17" s="53">
        <v>13</v>
      </c>
      <c r="B17" s="53">
        <v>2721</v>
      </c>
      <c r="C17" s="54" t="s">
        <v>156</v>
      </c>
      <c r="D17" s="68" t="s">
        <v>157</v>
      </c>
      <c r="E17" s="53">
        <v>9094802495</v>
      </c>
    </row>
    <row r="18" spans="1:5" ht="17.25" customHeight="1">
      <c r="A18" s="53">
        <v>14</v>
      </c>
      <c r="B18" s="53">
        <v>540</v>
      </c>
      <c r="C18" s="67" t="s">
        <v>49</v>
      </c>
      <c r="D18" s="71" t="s">
        <v>68</v>
      </c>
      <c r="E18" s="68">
        <v>9550367172</v>
      </c>
    </row>
    <row r="19" spans="1:5" ht="17.25" customHeight="1">
      <c r="A19" s="53">
        <v>15</v>
      </c>
      <c r="B19" s="53">
        <v>1181</v>
      </c>
      <c r="C19" s="70" t="s">
        <v>55</v>
      </c>
      <c r="D19" s="71" t="s">
        <v>68</v>
      </c>
      <c r="E19" s="68">
        <v>9493670612</v>
      </c>
    </row>
    <row r="20" spans="1:5" ht="17.25" customHeight="1">
      <c r="A20" s="53">
        <v>16</v>
      </c>
      <c r="B20" s="53">
        <v>1243</v>
      </c>
      <c r="C20" s="70" t="s">
        <v>58</v>
      </c>
      <c r="D20" s="71" t="s">
        <v>68</v>
      </c>
      <c r="E20" s="68">
        <v>8790166779</v>
      </c>
    </row>
    <row r="21" spans="1:5" ht="17.25" customHeight="1">
      <c r="A21" s="53">
        <v>17</v>
      </c>
      <c r="B21" s="53">
        <v>2432</v>
      </c>
      <c r="C21" s="54" t="s">
        <v>280</v>
      </c>
      <c r="D21" s="71" t="s">
        <v>68</v>
      </c>
      <c r="E21" s="53">
        <v>7093243607</v>
      </c>
    </row>
    <row r="22" spans="1:5" ht="17.25" customHeight="1">
      <c r="A22" s="53">
        <v>18</v>
      </c>
      <c r="B22" s="75" t="s">
        <v>66</v>
      </c>
      <c r="C22" s="70" t="s">
        <v>67</v>
      </c>
      <c r="D22" s="71" t="s">
        <v>68</v>
      </c>
      <c r="E22" s="53">
        <v>9614547390</v>
      </c>
    </row>
    <row r="23" spans="1:5" ht="17.25" customHeight="1">
      <c r="A23" s="53">
        <v>19</v>
      </c>
      <c r="B23" s="53">
        <v>2454</v>
      </c>
      <c r="C23" s="54" t="s">
        <v>318</v>
      </c>
      <c r="D23" s="71" t="s">
        <v>68</v>
      </c>
      <c r="E23" s="53">
        <v>7729990303</v>
      </c>
    </row>
    <row r="24" spans="1:5" ht="17.25" customHeight="1">
      <c r="A24" s="53">
        <v>20</v>
      </c>
      <c r="B24" s="53">
        <v>2502</v>
      </c>
      <c r="C24" s="55" t="s">
        <v>107</v>
      </c>
      <c r="D24" s="71" t="s">
        <v>68</v>
      </c>
      <c r="E24" s="53">
        <v>9600605782</v>
      </c>
    </row>
    <row r="25" spans="1:5" ht="17.25" customHeight="1">
      <c r="A25" s="53">
        <v>21</v>
      </c>
      <c r="B25" s="53">
        <v>2514</v>
      </c>
      <c r="C25" s="55" t="s">
        <v>113</v>
      </c>
      <c r="D25" s="71" t="s">
        <v>68</v>
      </c>
      <c r="E25" s="53">
        <v>9500312191</v>
      </c>
    </row>
    <row r="26" spans="1:5" ht="17.25" customHeight="1">
      <c r="A26" s="53">
        <v>22</v>
      </c>
      <c r="B26" s="53">
        <v>2519</v>
      </c>
      <c r="C26" s="55" t="s">
        <v>120</v>
      </c>
      <c r="D26" s="71" t="s">
        <v>68</v>
      </c>
      <c r="E26" s="71">
        <v>8978116834</v>
      </c>
    </row>
    <row r="27" spans="1:5" ht="17.25" customHeight="1">
      <c r="A27" s="53">
        <v>23</v>
      </c>
      <c r="B27" s="71">
        <v>2637</v>
      </c>
      <c r="C27" s="70" t="s">
        <v>261</v>
      </c>
      <c r="D27" s="71" t="s">
        <v>68</v>
      </c>
      <c r="E27" s="53">
        <v>9706631085</v>
      </c>
    </row>
    <row r="28" spans="1:5" ht="17.25" customHeight="1">
      <c r="A28" s="53">
        <v>24</v>
      </c>
      <c r="B28" s="71">
        <v>2689</v>
      </c>
      <c r="C28" s="70" t="s">
        <v>154</v>
      </c>
      <c r="D28" s="71" t="s">
        <v>68</v>
      </c>
      <c r="E28" s="53">
        <v>9668112717</v>
      </c>
    </row>
    <row r="29" spans="1:5" ht="17.25" customHeight="1">
      <c r="A29" s="53">
        <v>25</v>
      </c>
      <c r="B29" s="53">
        <v>2693</v>
      </c>
      <c r="C29" s="55" t="s">
        <v>300</v>
      </c>
      <c r="D29" s="71" t="s">
        <v>68</v>
      </c>
      <c r="E29" s="53">
        <v>9094802494</v>
      </c>
    </row>
    <row r="30" spans="1:5" ht="17.25" customHeight="1">
      <c r="A30" s="53">
        <v>26</v>
      </c>
      <c r="B30" s="53">
        <v>2728</v>
      </c>
      <c r="C30" s="55" t="s">
        <v>163</v>
      </c>
      <c r="D30" s="71" t="s">
        <v>68</v>
      </c>
      <c r="E30" s="53">
        <v>7981960066</v>
      </c>
    </row>
    <row r="31" spans="1:5" ht="17.25" customHeight="1">
      <c r="A31" s="53">
        <v>27</v>
      </c>
      <c r="B31" s="53">
        <v>2765</v>
      </c>
      <c r="C31" s="54" t="s">
        <v>168</v>
      </c>
      <c r="D31" s="71" t="s">
        <v>68</v>
      </c>
      <c r="E31" s="53">
        <v>9788682940</v>
      </c>
    </row>
    <row r="32" spans="1:5" ht="17.25" customHeight="1">
      <c r="A32" s="53">
        <v>28</v>
      </c>
      <c r="B32" s="53">
        <v>2812</v>
      </c>
      <c r="C32" s="77" t="s">
        <v>301</v>
      </c>
      <c r="D32" s="71" t="s">
        <v>68</v>
      </c>
      <c r="E32" s="53">
        <v>7731063177</v>
      </c>
    </row>
    <row r="33" spans="1:5" ht="17.25" customHeight="1">
      <c r="A33" s="53">
        <v>29</v>
      </c>
      <c r="B33" s="53">
        <v>2814</v>
      </c>
      <c r="C33" s="77" t="s">
        <v>327</v>
      </c>
      <c r="D33" s="71" t="s">
        <v>68</v>
      </c>
      <c r="E33" s="53">
        <v>8056033643</v>
      </c>
    </row>
    <row r="34" spans="1:5" ht="17.25" customHeight="1">
      <c r="A34" s="53">
        <v>30</v>
      </c>
      <c r="B34" s="53">
        <v>2512</v>
      </c>
      <c r="C34" s="54" t="s">
        <v>189</v>
      </c>
      <c r="D34" s="71" t="s">
        <v>68</v>
      </c>
      <c r="E34" s="53">
        <v>9292709507</v>
      </c>
    </row>
    <row r="35" spans="1:5" ht="17.25" customHeight="1">
      <c r="A35" s="53">
        <v>31</v>
      </c>
      <c r="B35" s="53">
        <v>2898</v>
      </c>
      <c r="C35" s="73" t="s">
        <v>190</v>
      </c>
      <c r="D35" s="71" t="s">
        <v>68</v>
      </c>
      <c r="E35" s="53">
        <v>9989895732</v>
      </c>
    </row>
    <row r="36" spans="1:5" ht="17.25" customHeight="1">
      <c r="A36" s="53">
        <v>32</v>
      </c>
      <c r="B36" s="53">
        <v>2921</v>
      </c>
      <c r="C36" s="73" t="s">
        <v>191</v>
      </c>
      <c r="D36" s="71" t="s">
        <v>192</v>
      </c>
      <c r="E36" s="56">
        <v>9014766760</v>
      </c>
    </row>
    <row r="37" spans="1:5" ht="17.25" customHeight="1">
      <c r="A37" s="53">
        <v>33</v>
      </c>
      <c r="B37" s="53">
        <v>2934</v>
      </c>
      <c r="C37" s="73" t="s">
        <v>193</v>
      </c>
      <c r="D37" s="71" t="s">
        <v>68</v>
      </c>
      <c r="E37" s="56">
        <v>9440664462</v>
      </c>
    </row>
    <row r="38" spans="1:5" ht="17.25" customHeight="1">
      <c r="A38" s="53">
        <v>34</v>
      </c>
      <c r="B38" s="53">
        <v>2936</v>
      </c>
      <c r="C38" s="73" t="s">
        <v>197</v>
      </c>
      <c r="D38" s="71" t="s">
        <v>198</v>
      </c>
      <c r="E38" s="56">
        <v>8125544167</v>
      </c>
    </row>
    <row r="39" spans="1:5" ht="17.25" customHeight="1">
      <c r="A39" s="53">
        <v>35</v>
      </c>
      <c r="B39" s="53">
        <v>633</v>
      </c>
      <c r="C39" s="54" t="s">
        <v>305</v>
      </c>
      <c r="D39" s="53" t="s">
        <v>320</v>
      </c>
      <c r="E39" s="53">
        <v>9494678628</v>
      </c>
    </row>
    <row r="40" spans="1:5" ht="17.25" customHeight="1">
      <c r="A40" s="53">
        <v>36</v>
      </c>
      <c r="B40" s="53">
        <v>2285</v>
      </c>
      <c r="C40" s="54" t="s">
        <v>306</v>
      </c>
      <c r="D40" s="53" t="s">
        <v>321</v>
      </c>
      <c r="E40" s="53">
        <v>9640066261</v>
      </c>
    </row>
    <row r="41" spans="1:5" ht="17.25" customHeight="1">
      <c r="A41" s="53">
        <v>37</v>
      </c>
      <c r="B41" s="53">
        <v>2826</v>
      </c>
      <c r="C41" s="55" t="s">
        <v>178</v>
      </c>
      <c r="D41" s="53" t="s">
        <v>62</v>
      </c>
      <c r="E41" s="53">
        <v>9542588470</v>
      </c>
    </row>
    <row r="42" spans="1:5" ht="17.25" customHeight="1">
      <c r="A42" s="53">
        <v>38</v>
      </c>
      <c r="B42" s="79">
        <v>2899</v>
      </c>
      <c r="C42" s="110" t="s">
        <v>307</v>
      </c>
      <c r="D42" s="79" t="s">
        <v>62</v>
      </c>
      <c r="E42" s="53">
        <v>8765540772</v>
      </c>
    </row>
    <row r="43" spans="1:5" ht="17.25" customHeight="1">
      <c r="A43" s="53">
        <v>39</v>
      </c>
      <c r="B43" s="53">
        <v>2925</v>
      </c>
      <c r="C43" s="12" t="s">
        <v>200</v>
      </c>
      <c r="D43" s="53" t="s">
        <v>62</v>
      </c>
      <c r="E43" s="56">
        <v>7995794652</v>
      </c>
    </row>
    <row r="44" spans="1:5" ht="17.25" customHeight="1">
      <c r="A44" s="53"/>
      <c r="B44" s="53"/>
      <c r="C44" s="12"/>
      <c r="D44" s="53"/>
      <c r="E44" s="56"/>
    </row>
    <row r="45" spans="1:5" ht="17.25" customHeight="1">
      <c r="A45" s="53">
        <v>40</v>
      </c>
      <c r="B45" s="53">
        <v>30410</v>
      </c>
      <c r="C45" s="55" t="s">
        <v>304</v>
      </c>
      <c r="D45" s="53" t="s">
        <v>228</v>
      </c>
      <c r="E45" s="53">
        <v>7995622962</v>
      </c>
    </row>
    <row r="46" spans="1:5" ht="17.25" customHeight="1">
      <c r="A46" s="53">
        <v>41</v>
      </c>
      <c r="B46" s="53">
        <v>30744</v>
      </c>
      <c r="C46" s="55" t="s">
        <v>308</v>
      </c>
      <c r="D46" s="53" t="s">
        <v>309</v>
      </c>
      <c r="E46" s="53">
        <v>8790500801</v>
      </c>
    </row>
    <row r="47" spans="1:5" ht="20.100000000000001" customHeight="1">
      <c r="A47" s="53"/>
      <c r="B47" s="115"/>
      <c r="C47" s="115"/>
      <c r="D47" s="115"/>
      <c r="E47" s="149"/>
    </row>
    <row r="48" spans="1:5" ht="20.100000000000001" customHeight="1">
      <c r="A48" s="53">
        <v>1</v>
      </c>
      <c r="B48" s="53">
        <v>30683</v>
      </c>
      <c r="C48" s="55" t="s">
        <v>183</v>
      </c>
      <c r="D48" s="53" t="s">
        <v>62</v>
      </c>
      <c r="E48" s="56">
        <v>7075547599</v>
      </c>
    </row>
    <row r="49" spans="1:5" ht="20.100000000000001" customHeight="1">
      <c r="A49" s="53">
        <v>2</v>
      </c>
      <c r="B49" s="53">
        <v>30681</v>
      </c>
      <c r="C49" s="55" t="s">
        <v>185</v>
      </c>
      <c r="D49" s="53" t="s">
        <v>62</v>
      </c>
      <c r="E49" s="56">
        <v>7981570764</v>
      </c>
    </row>
    <row r="50" spans="1:5" ht="20.100000000000001" customHeight="1">
      <c r="A50" s="53">
        <v>3</v>
      </c>
      <c r="B50" s="53">
        <v>30682</v>
      </c>
      <c r="C50" s="55" t="s">
        <v>186</v>
      </c>
      <c r="D50" s="53" t="s">
        <v>62</v>
      </c>
      <c r="E50" s="56">
        <v>9515188096</v>
      </c>
    </row>
    <row r="51" spans="1:5" ht="20.100000000000001" customHeight="1">
      <c r="A51" s="53">
        <v>4</v>
      </c>
      <c r="B51" s="53">
        <v>30685</v>
      </c>
      <c r="C51" s="55" t="s">
        <v>187</v>
      </c>
      <c r="D51" s="53" t="s">
        <v>62</v>
      </c>
      <c r="E51" s="56">
        <v>9182032471</v>
      </c>
    </row>
    <row r="52" spans="1:5" ht="20.100000000000001" customHeight="1">
      <c r="A52" s="53">
        <v>5</v>
      </c>
      <c r="B52" s="56">
        <v>30731</v>
      </c>
      <c r="C52" s="73" t="s">
        <v>293</v>
      </c>
      <c r="D52" s="53" t="s">
        <v>62</v>
      </c>
      <c r="E52" s="56">
        <v>9701843396</v>
      </c>
    </row>
    <row r="53" spans="1:5" ht="20.100000000000001" customHeight="1">
      <c r="A53" s="84"/>
      <c r="E53" s="81"/>
    </row>
    <row r="54" spans="1:5" ht="20.100000000000001" customHeight="1">
      <c r="A54" s="518" t="s">
        <v>323</v>
      </c>
      <c r="B54" s="518"/>
      <c r="C54" s="518"/>
      <c r="D54" s="518"/>
      <c r="E54" s="518"/>
    </row>
    <row r="55" spans="1:5" ht="20.100000000000001" customHeight="1">
      <c r="A55" s="53">
        <v>1</v>
      </c>
      <c r="B55" s="71">
        <v>2646</v>
      </c>
      <c r="C55" s="70" t="s">
        <v>245</v>
      </c>
      <c r="D55" s="68" t="s">
        <v>267</v>
      </c>
      <c r="E55" s="53">
        <v>6300035358</v>
      </c>
    </row>
    <row r="56" spans="1:5" ht="20.100000000000001" customHeight="1">
      <c r="A56" s="53">
        <v>2</v>
      </c>
      <c r="B56" s="71">
        <v>2686</v>
      </c>
      <c r="C56" s="70" t="s">
        <v>268</v>
      </c>
      <c r="D56" s="68" t="s">
        <v>267</v>
      </c>
      <c r="E56" s="53">
        <v>8247346900</v>
      </c>
    </row>
    <row r="57" spans="1:5" ht="20.100000000000001" customHeight="1">
      <c r="A57" s="53">
        <v>3</v>
      </c>
      <c r="B57" s="71">
        <v>2614</v>
      </c>
      <c r="C57" s="70" t="s">
        <v>269</v>
      </c>
      <c r="D57" s="68" t="s">
        <v>147</v>
      </c>
      <c r="E57" s="53">
        <v>9581958972</v>
      </c>
    </row>
    <row r="58" spans="1:5" ht="20.100000000000001" customHeight="1">
      <c r="A58" s="53">
        <v>4</v>
      </c>
      <c r="B58" s="71">
        <v>2852</v>
      </c>
      <c r="C58" s="70" t="s">
        <v>205</v>
      </c>
      <c r="D58" s="68" t="s">
        <v>147</v>
      </c>
      <c r="E58" s="53">
        <v>7981683088</v>
      </c>
    </row>
    <row r="59" spans="1:5" ht="20.100000000000001" customHeight="1">
      <c r="A59" s="53">
        <v>5</v>
      </c>
      <c r="B59" s="71">
        <v>2862</v>
      </c>
      <c r="C59" s="70" t="s">
        <v>206</v>
      </c>
      <c r="D59" s="68" t="s">
        <v>147</v>
      </c>
      <c r="E59" s="53">
        <v>9966109473</v>
      </c>
    </row>
    <row r="60" spans="1:5" ht="20.100000000000001" customHeight="1">
      <c r="A60" s="53">
        <v>6</v>
      </c>
      <c r="B60" s="71">
        <v>2932</v>
      </c>
      <c r="C60" s="70" t="s">
        <v>207</v>
      </c>
      <c r="D60" s="68" t="s">
        <v>147</v>
      </c>
      <c r="E60" s="53">
        <v>7672052900</v>
      </c>
    </row>
    <row r="61" spans="1:5" ht="20.100000000000001" customHeight="1">
      <c r="A61" s="53">
        <v>7</v>
      </c>
      <c r="B61" s="71">
        <v>2935</v>
      </c>
      <c r="C61" s="70" t="s">
        <v>208</v>
      </c>
      <c r="D61" s="68" t="s">
        <v>147</v>
      </c>
      <c r="E61" s="53">
        <v>9948686959</v>
      </c>
    </row>
    <row r="62" spans="1:5" ht="20.100000000000001" customHeight="1">
      <c r="A62" s="53">
        <v>8</v>
      </c>
      <c r="B62" s="71">
        <v>2940</v>
      </c>
      <c r="C62" s="70" t="s">
        <v>209</v>
      </c>
      <c r="D62" s="68" t="s">
        <v>147</v>
      </c>
      <c r="E62" s="150">
        <v>7799595004</v>
      </c>
    </row>
    <row r="63" spans="1:5" ht="20.100000000000001" customHeight="1">
      <c r="A63" s="81"/>
      <c r="B63" s="86"/>
      <c r="C63" s="151"/>
      <c r="D63" s="88"/>
      <c r="E63" s="81"/>
    </row>
    <row r="64" spans="1:5" ht="20.100000000000001" customHeight="1">
      <c r="A64" s="87"/>
      <c r="B64" s="87"/>
      <c r="C64" s="87"/>
      <c r="D64" s="87"/>
      <c r="E64" s="82"/>
    </row>
    <row r="65" spans="1:5" ht="20.100000000000001" customHeight="1">
      <c r="A65" s="529" t="s">
        <v>325</v>
      </c>
      <c r="B65" s="529"/>
      <c r="C65" s="529"/>
      <c r="D65" s="529"/>
      <c r="E65" s="529"/>
    </row>
    <row r="66" spans="1:5" ht="20.100000000000001" customHeight="1">
      <c r="A66" s="53">
        <v>1</v>
      </c>
      <c r="B66" s="53">
        <v>629</v>
      </c>
      <c r="C66" s="54" t="s">
        <v>248</v>
      </c>
      <c r="D66" s="53" t="s">
        <v>270</v>
      </c>
      <c r="E66" s="53">
        <v>9502200265</v>
      </c>
    </row>
    <row r="67" spans="1:5" ht="20.100000000000001" customHeight="1">
      <c r="A67" s="53">
        <v>2</v>
      </c>
      <c r="B67" s="53">
        <v>2538</v>
      </c>
      <c r="C67" s="55" t="s">
        <v>271</v>
      </c>
      <c r="D67" s="53" t="s">
        <v>270</v>
      </c>
      <c r="E67" s="53">
        <v>9848526387</v>
      </c>
    </row>
    <row r="68" spans="1:5" ht="20.100000000000001" customHeight="1">
      <c r="A68" s="53">
        <v>3</v>
      </c>
      <c r="B68" s="53">
        <v>2613</v>
      </c>
      <c r="C68" s="54" t="s">
        <v>272</v>
      </c>
      <c r="D68" s="56" t="s">
        <v>251</v>
      </c>
      <c r="E68" s="53">
        <v>973912337</v>
      </c>
    </row>
    <row r="69" spans="1:5" ht="20.100000000000001" customHeight="1">
      <c r="A69" s="53">
        <v>4</v>
      </c>
      <c r="B69" s="53">
        <v>2700</v>
      </c>
      <c r="C69" s="54" t="s">
        <v>273</v>
      </c>
      <c r="D69" s="53" t="s">
        <v>251</v>
      </c>
      <c r="E69" s="53"/>
    </row>
    <row r="70" spans="1:5" ht="20.100000000000001" customHeight="1">
      <c r="E70" s="1"/>
    </row>
  </sheetData>
  <mergeCells count="5">
    <mergeCell ref="A1:E1"/>
    <mergeCell ref="A2:E2"/>
    <mergeCell ref="A3:E3"/>
    <mergeCell ref="A54:E54"/>
    <mergeCell ref="A65:E65"/>
  </mergeCells>
  <conditionalFormatting sqref="B19:B20">
    <cfRule type="duplicateValues" dxfId="37" priority="2"/>
  </conditionalFormatting>
  <conditionalFormatting sqref="B22:B23">
    <cfRule type="duplicateValues" dxfId="36" priority="1"/>
  </conditionalFormatting>
  <pageMargins left="0.39370078740157499" right="0.39370078740157499" top="0.39370078740157499" bottom="0.196850393700787" header="0.31496062992126" footer="0.511811023622047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"/>
  <sheetViews>
    <sheetView topLeftCell="A70" zoomScale="120" zoomScaleNormal="120" workbookViewId="0">
      <selection activeCell="B71" sqref="B71:G80"/>
    </sheetView>
  </sheetViews>
  <sheetFormatPr defaultColWidth="9.109375" defaultRowHeight="20.100000000000001" customHeight="1"/>
  <cols>
    <col min="1" max="1" width="6.33203125" style="124" customWidth="1"/>
    <col min="2" max="2" width="9.109375" style="126"/>
    <col min="3" max="3" width="35" style="125" customWidth="1"/>
    <col min="4" max="4" width="22.88671875" style="125" customWidth="1"/>
    <col min="5" max="6" width="17.33203125" style="126" customWidth="1"/>
    <col min="7" max="7" width="17.44140625" style="126" customWidth="1"/>
    <col min="8" max="8" width="11.109375" style="127" bestFit="1" customWidth="1"/>
    <col min="9" max="16384" width="9.109375" style="127"/>
  </cols>
  <sheetData>
    <row r="1" spans="1:6" ht="20.100000000000001" customHeight="1">
      <c r="A1" s="538" t="s">
        <v>47</v>
      </c>
      <c r="B1" s="538"/>
      <c r="C1" s="538"/>
      <c r="D1" s="538"/>
      <c r="E1" s="538"/>
      <c r="F1" s="313"/>
    </row>
    <row r="2" spans="1:6" ht="20.100000000000001" customHeight="1">
      <c r="A2" s="538" t="s">
        <v>328</v>
      </c>
      <c r="B2" s="538"/>
      <c r="C2" s="538"/>
      <c r="D2" s="538"/>
      <c r="E2" s="538"/>
      <c r="F2" s="313"/>
    </row>
    <row r="3" spans="1:6" ht="2.25" customHeight="1">
      <c r="A3" s="516"/>
      <c r="B3" s="516"/>
      <c r="C3" s="516"/>
      <c r="D3" s="516"/>
      <c r="E3" s="516"/>
      <c r="F3" s="313"/>
    </row>
    <row r="4" spans="1:6" ht="20.100000000000001" customHeight="1">
      <c r="A4" s="128" t="s">
        <v>1</v>
      </c>
      <c r="B4" s="128" t="s">
        <v>216</v>
      </c>
      <c r="C4" s="129" t="s">
        <v>3</v>
      </c>
      <c r="D4" s="128" t="s">
        <v>4</v>
      </c>
      <c r="E4" s="128" t="s">
        <v>326</v>
      </c>
      <c r="F4" s="313"/>
    </row>
    <row r="5" spans="1:6" ht="20.100000000000001" customHeight="1">
      <c r="A5" s="91">
        <v>1</v>
      </c>
      <c r="B5" s="91">
        <v>1251</v>
      </c>
      <c r="C5" s="130" t="s">
        <v>9</v>
      </c>
      <c r="D5" s="131" t="s">
        <v>257</v>
      </c>
      <c r="E5" s="132">
        <v>9840850744</v>
      </c>
      <c r="F5" s="331"/>
    </row>
    <row r="6" spans="1:6" ht="20.100000000000001" customHeight="1">
      <c r="A6" s="91">
        <v>2</v>
      </c>
      <c r="B6" s="91">
        <v>308</v>
      </c>
      <c r="C6" s="130" t="s">
        <v>299</v>
      </c>
      <c r="D6" s="131" t="s">
        <v>19</v>
      </c>
      <c r="E6" s="132">
        <v>9908823834</v>
      </c>
      <c r="F6" s="331"/>
    </row>
    <row r="7" spans="1:6" ht="20.100000000000001" customHeight="1">
      <c r="A7" s="91">
        <v>3</v>
      </c>
      <c r="B7" s="91">
        <v>1182</v>
      </c>
      <c r="C7" s="133" t="s">
        <v>26</v>
      </c>
      <c r="D7" s="134" t="s">
        <v>258</v>
      </c>
      <c r="E7" s="132">
        <v>9676354404</v>
      </c>
      <c r="F7" s="331"/>
    </row>
    <row r="8" spans="1:6" ht="20.100000000000001" customHeight="1">
      <c r="A8" s="91">
        <v>4</v>
      </c>
      <c r="B8" s="91">
        <v>2511</v>
      </c>
      <c r="C8" s="90" t="s">
        <v>109</v>
      </c>
      <c r="D8" s="134" t="s">
        <v>180</v>
      </c>
      <c r="E8" s="135">
        <v>6379772780</v>
      </c>
      <c r="F8" s="332"/>
    </row>
    <row r="9" spans="1:6" ht="13.5" customHeight="1">
      <c r="A9" s="91">
        <v>5</v>
      </c>
      <c r="B9" s="91">
        <v>312</v>
      </c>
      <c r="C9" s="130" t="s">
        <v>42</v>
      </c>
      <c r="D9" s="72" t="s">
        <v>317</v>
      </c>
      <c r="E9" s="132">
        <v>8297208489</v>
      </c>
      <c r="F9" s="331"/>
    </row>
    <row r="10" spans="1:6" ht="20.100000000000001" customHeight="1">
      <c r="A10" s="91">
        <v>6</v>
      </c>
      <c r="B10" s="91">
        <v>2090</v>
      </c>
      <c r="C10" s="136" t="s">
        <v>33</v>
      </c>
      <c r="D10" s="134" t="s">
        <v>180</v>
      </c>
      <c r="E10" s="132">
        <v>9441540580</v>
      </c>
      <c r="F10" s="331"/>
    </row>
    <row r="11" spans="1:6" ht="20.100000000000001" customHeight="1">
      <c r="A11" s="91">
        <v>7</v>
      </c>
      <c r="B11" s="91">
        <v>2827</v>
      </c>
      <c r="C11" s="90" t="s">
        <v>279</v>
      </c>
      <c r="D11" s="134" t="s">
        <v>180</v>
      </c>
      <c r="E11" s="132">
        <v>8085575111</v>
      </c>
      <c r="F11" s="331"/>
    </row>
    <row r="12" spans="1:6" ht="20.100000000000001" customHeight="1">
      <c r="A12" s="91">
        <v>8</v>
      </c>
      <c r="B12" s="91">
        <v>2490</v>
      </c>
      <c r="C12" s="90" t="s">
        <v>83</v>
      </c>
      <c r="D12" s="131" t="s">
        <v>157</v>
      </c>
      <c r="E12" s="135">
        <v>9848129660</v>
      </c>
      <c r="F12" s="332"/>
    </row>
    <row r="13" spans="1:6" ht="20.100000000000001" customHeight="1">
      <c r="A13" s="91">
        <v>9</v>
      </c>
      <c r="B13" s="91">
        <v>2493</v>
      </c>
      <c r="C13" s="90" t="s">
        <v>220</v>
      </c>
      <c r="D13" s="131" t="s">
        <v>157</v>
      </c>
      <c r="E13" s="135">
        <v>8940506036</v>
      </c>
      <c r="F13" s="332"/>
    </row>
    <row r="14" spans="1:6" ht="20.100000000000001" customHeight="1">
      <c r="A14" s="91">
        <v>10</v>
      </c>
      <c r="B14" s="91">
        <v>2499</v>
      </c>
      <c r="C14" s="127" t="s">
        <v>221</v>
      </c>
      <c r="D14" s="131" t="s">
        <v>157</v>
      </c>
      <c r="E14" s="135">
        <v>9994476533</v>
      </c>
      <c r="F14" s="332"/>
    </row>
    <row r="15" spans="1:6" ht="20.100000000000001" customHeight="1">
      <c r="A15" s="91">
        <v>11</v>
      </c>
      <c r="B15" s="91">
        <v>2501</v>
      </c>
      <c r="C15" s="90" t="s">
        <v>101</v>
      </c>
      <c r="D15" s="131" t="s">
        <v>157</v>
      </c>
      <c r="E15" s="135">
        <v>9848052474</v>
      </c>
      <c r="F15" s="332"/>
    </row>
    <row r="16" spans="1:6" ht="20.100000000000001" customHeight="1">
      <c r="A16" s="91">
        <v>12</v>
      </c>
      <c r="B16" s="91">
        <v>2541</v>
      </c>
      <c r="C16" s="136" t="s">
        <v>127</v>
      </c>
      <c r="D16" s="131" t="s">
        <v>157</v>
      </c>
      <c r="E16" s="135">
        <v>7981738522</v>
      </c>
      <c r="F16" s="332"/>
    </row>
    <row r="17" spans="1:6" ht="20.100000000000001" customHeight="1">
      <c r="A17" s="91">
        <v>13</v>
      </c>
      <c r="B17" s="91">
        <v>2721</v>
      </c>
      <c r="C17" s="136" t="s">
        <v>156</v>
      </c>
      <c r="D17" s="131" t="s">
        <v>157</v>
      </c>
      <c r="E17" s="135">
        <v>9094802495</v>
      </c>
      <c r="F17" s="332"/>
    </row>
    <row r="18" spans="1:6" ht="20.100000000000001" customHeight="1">
      <c r="A18" s="91">
        <v>14</v>
      </c>
      <c r="B18" s="91">
        <v>540</v>
      </c>
      <c r="C18" s="130" t="s">
        <v>49</v>
      </c>
      <c r="D18" s="134" t="s">
        <v>68</v>
      </c>
      <c r="E18" s="132">
        <v>9550367172</v>
      </c>
      <c r="F18" s="331"/>
    </row>
    <row r="19" spans="1:6" ht="20.100000000000001" customHeight="1">
      <c r="A19" s="91">
        <v>15</v>
      </c>
      <c r="B19" s="91">
        <v>1181</v>
      </c>
      <c r="C19" s="133" t="s">
        <v>55</v>
      </c>
      <c r="D19" s="134" t="s">
        <v>68</v>
      </c>
      <c r="E19" s="132">
        <v>9493670612</v>
      </c>
      <c r="F19" s="331"/>
    </row>
    <row r="20" spans="1:6" ht="20.100000000000001" customHeight="1">
      <c r="A20" s="91">
        <v>16</v>
      </c>
      <c r="B20" s="91">
        <v>1243</v>
      </c>
      <c r="C20" s="133" t="s">
        <v>58</v>
      </c>
      <c r="D20" s="134" t="s">
        <v>68</v>
      </c>
      <c r="E20" s="132">
        <v>8790166779</v>
      </c>
      <c r="F20" s="331"/>
    </row>
    <row r="21" spans="1:6" ht="20.100000000000001" customHeight="1">
      <c r="A21" s="91">
        <v>17</v>
      </c>
      <c r="B21" s="91">
        <v>2432</v>
      </c>
      <c r="C21" s="136" t="s">
        <v>280</v>
      </c>
      <c r="D21" s="134" t="s">
        <v>68</v>
      </c>
      <c r="E21" s="135">
        <v>7093243607</v>
      </c>
      <c r="F21" s="332"/>
    </row>
    <row r="22" spans="1:6" ht="20.100000000000001" customHeight="1">
      <c r="A22" s="91">
        <v>18</v>
      </c>
      <c r="B22" s="137" t="s">
        <v>66</v>
      </c>
      <c r="C22" s="133" t="s">
        <v>67</v>
      </c>
      <c r="D22" s="134" t="s">
        <v>68</v>
      </c>
      <c r="E22" s="135">
        <v>9614547390</v>
      </c>
      <c r="F22" s="332"/>
    </row>
    <row r="23" spans="1:6" ht="20.100000000000001" customHeight="1">
      <c r="A23" s="91">
        <v>19</v>
      </c>
      <c r="B23" s="91">
        <v>2454</v>
      </c>
      <c r="C23" s="136" t="s">
        <v>318</v>
      </c>
      <c r="D23" s="134" t="s">
        <v>68</v>
      </c>
      <c r="E23" s="135">
        <v>7729990303</v>
      </c>
      <c r="F23" s="332"/>
    </row>
    <row r="24" spans="1:6" ht="20.100000000000001" customHeight="1">
      <c r="A24" s="91">
        <v>20</v>
      </c>
      <c r="B24" s="91">
        <v>2502</v>
      </c>
      <c r="C24" s="90" t="s">
        <v>329</v>
      </c>
      <c r="D24" s="134" t="s">
        <v>68</v>
      </c>
      <c r="E24" s="135">
        <v>9600605782</v>
      </c>
      <c r="F24" s="332"/>
    </row>
    <row r="25" spans="1:6" ht="20.100000000000001" customHeight="1">
      <c r="A25" s="91">
        <v>21</v>
      </c>
      <c r="B25" s="91">
        <v>2514</v>
      </c>
      <c r="C25" s="90" t="s">
        <v>113</v>
      </c>
      <c r="D25" s="134" t="s">
        <v>68</v>
      </c>
      <c r="E25" s="135">
        <v>9500312191</v>
      </c>
      <c r="F25" s="332"/>
    </row>
    <row r="26" spans="1:6" ht="20.100000000000001" customHeight="1">
      <c r="A26" s="91">
        <v>22</v>
      </c>
      <c r="B26" s="91">
        <v>2519</v>
      </c>
      <c r="C26" s="90" t="s">
        <v>120</v>
      </c>
      <c r="D26" s="134" t="s">
        <v>68</v>
      </c>
      <c r="E26" s="138">
        <v>8978116834</v>
      </c>
      <c r="F26" s="333"/>
    </row>
    <row r="27" spans="1:6" ht="20.100000000000001" customHeight="1">
      <c r="A27" s="91">
        <v>23</v>
      </c>
      <c r="B27" s="134">
        <v>2637</v>
      </c>
      <c r="C27" s="133" t="s">
        <v>261</v>
      </c>
      <c r="D27" s="134" t="s">
        <v>68</v>
      </c>
      <c r="E27" s="135">
        <v>9706631085</v>
      </c>
      <c r="F27" s="332"/>
    </row>
    <row r="28" spans="1:6" ht="20.100000000000001" customHeight="1">
      <c r="A28" s="91">
        <v>24</v>
      </c>
      <c r="B28" s="134">
        <v>2689</v>
      </c>
      <c r="C28" s="133" t="s">
        <v>154</v>
      </c>
      <c r="D28" s="134" t="s">
        <v>68</v>
      </c>
      <c r="E28" s="135">
        <v>9668112717</v>
      </c>
      <c r="F28" s="332"/>
    </row>
    <row r="29" spans="1:6" ht="20.100000000000001" customHeight="1">
      <c r="A29" s="91">
        <v>25</v>
      </c>
      <c r="B29" s="91">
        <v>2693</v>
      </c>
      <c r="C29" s="90" t="s">
        <v>300</v>
      </c>
      <c r="D29" s="134" t="s">
        <v>68</v>
      </c>
      <c r="E29" s="135">
        <v>9094802494</v>
      </c>
      <c r="F29" s="332"/>
    </row>
    <row r="30" spans="1:6" ht="20.100000000000001" customHeight="1">
      <c r="A30" s="91">
        <v>26</v>
      </c>
      <c r="B30" s="91">
        <v>2728</v>
      </c>
      <c r="C30" s="90" t="s">
        <v>163</v>
      </c>
      <c r="D30" s="134" t="s">
        <v>68</v>
      </c>
      <c r="E30" s="135">
        <v>7981960066</v>
      </c>
      <c r="F30" s="332"/>
    </row>
    <row r="31" spans="1:6" ht="20.100000000000001" customHeight="1">
      <c r="A31" s="91">
        <v>27</v>
      </c>
      <c r="B31" s="91">
        <v>2765</v>
      </c>
      <c r="C31" s="136" t="s">
        <v>168</v>
      </c>
      <c r="D31" s="134" t="s">
        <v>68</v>
      </c>
      <c r="E31" s="135">
        <v>9788682940</v>
      </c>
      <c r="F31" s="332"/>
    </row>
    <row r="32" spans="1:6" ht="20.100000000000001" customHeight="1">
      <c r="A32" s="91">
        <v>28</v>
      </c>
      <c r="B32" s="91">
        <v>2812</v>
      </c>
      <c r="C32" s="139" t="s">
        <v>301</v>
      </c>
      <c r="D32" s="134" t="s">
        <v>68</v>
      </c>
      <c r="E32" s="135">
        <v>7731063177</v>
      </c>
      <c r="F32" s="332"/>
    </row>
    <row r="33" spans="1:6" ht="20.100000000000001" customHeight="1">
      <c r="A33" s="91">
        <v>29</v>
      </c>
      <c r="B33" s="91">
        <v>2814</v>
      </c>
      <c r="C33" s="139" t="s">
        <v>302</v>
      </c>
      <c r="D33" s="134" t="s">
        <v>68</v>
      </c>
      <c r="E33" s="135">
        <v>8056033643</v>
      </c>
      <c r="F33" s="332"/>
    </row>
    <row r="34" spans="1:6" ht="20.100000000000001" customHeight="1">
      <c r="A34" s="91">
        <v>30</v>
      </c>
      <c r="B34" s="91">
        <v>2512</v>
      </c>
      <c r="C34" s="136" t="s">
        <v>189</v>
      </c>
      <c r="D34" s="134" t="s">
        <v>68</v>
      </c>
      <c r="E34" s="135">
        <v>9292709507</v>
      </c>
      <c r="F34" s="332"/>
    </row>
    <row r="35" spans="1:6" ht="20.100000000000001" customHeight="1">
      <c r="A35" s="91">
        <v>31</v>
      </c>
      <c r="B35" s="91">
        <v>2898</v>
      </c>
      <c r="C35" s="140" t="s">
        <v>190</v>
      </c>
      <c r="D35" s="134" t="s">
        <v>68</v>
      </c>
      <c r="E35" s="135">
        <v>9989895732</v>
      </c>
      <c r="F35" s="332"/>
    </row>
    <row r="36" spans="1:6" ht="20.100000000000001" customHeight="1">
      <c r="A36" s="91">
        <v>32</v>
      </c>
      <c r="B36" s="91">
        <v>2921</v>
      </c>
      <c r="C36" s="140" t="s">
        <v>191</v>
      </c>
      <c r="D36" s="134" t="s">
        <v>192</v>
      </c>
      <c r="E36" s="141">
        <v>9014766760</v>
      </c>
      <c r="F36" s="334"/>
    </row>
    <row r="37" spans="1:6" ht="20.100000000000001" customHeight="1">
      <c r="A37" s="91">
        <v>33</v>
      </c>
      <c r="B37" s="91">
        <v>2934</v>
      </c>
      <c r="C37" s="140" t="s">
        <v>319</v>
      </c>
      <c r="D37" s="134" t="s">
        <v>68</v>
      </c>
      <c r="E37" s="141">
        <v>9440664462</v>
      </c>
      <c r="F37" s="334"/>
    </row>
    <row r="38" spans="1:6" ht="20.100000000000001" customHeight="1">
      <c r="A38" s="91">
        <v>34</v>
      </c>
      <c r="B38" s="91">
        <v>2936</v>
      </c>
      <c r="C38" s="140" t="s">
        <v>197</v>
      </c>
      <c r="D38" s="134" t="s">
        <v>198</v>
      </c>
      <c r="E38" s="141">
        <v>8125544167</v>
      </c>
      <c r="F38" s="334"/>
    </row>
    <row r="39" spans="1:6" ht="20.100000000000001" customHeight="1">
      <c r="A39" s="91">
        <v>35</v>
      </c>
      <c r="B39" s="91">
        <v>633</v>
      </c>
      <c r="C39" s="136" t="s">
        <v>305</v>
      </c>
      <c r="D39" s="91" t="s">
        <v>320</v>
      </c>
      <c r="E39" s="135">
        <v>9494678628</v>
      </c>
      <c r="F39" s="332"/>
    </row>
    <row r="40" spans="1:6" ht="20.100000000000001" customHeight="1">
      <c r="A40" s="91">
        <v>36</v>
      </c>
      <c r="B40" s="91">
        <v>2285</v>
      </c>
      <c r="C40" s="136" t="s">
        <v>306</v>
      </c>
      <c r="D40" s="91" t="s">
        <v>321</v>
      </c>
      <c r="E40" s="135">
        <v>9640066261</v>
      </c>
      <c r="F40" s="332"/>
    </row>
    <row r="41" spans="1:6" ht="20.100000000000001" customHeight="1">
      <c r="A41" s="91">
        <v>37</v>
      </c>
      <c r="B41" s="91">
        <v>2826</v>
      </c>
      <c r="C41" s="90" t="s">
        <v>178</v>
      </c>
      <c r="D41" s="91" t="s">
        <v>62</v>
      </c>
      <c r="E41" s="135">
        <v>9542588470</v>
      </c>
      <c r="F41" s="332"/>
    </row>
    <row r="42" spans="1:6" ht="20.100000000000001" customHeight="1">
      <c r="A42" s="91">
        <v>38</v>
      </c>
      <c r="B42" s="142">
        <v>2899</v>
      </c>
      <c r="C42" s="143" t="s">
        <v>307</v>
      </c>
      <c r="D42" s="142" t="s">
        <v>62</v>
      </c>
      <c r="E42" s="135">
        <v>8765540772</v>
      </c>
      <c r="F42" s="332"/>
    </row>
    <row r="43" spans="1:6" ht="20.100000000000001" customHeight="1">
      <c r="A43" s="91">
        <v>39</v>
      </c>
      <c r="B43" s="91">
        <v>2925</v>
      </c>
      <c r="C43" s="140" t="s">
        <v>200</v>
      </c>
      <c r="D43" s="91" t="s">
        <v>62</v>
      </c>
      <c r="E43" s="141">
        <v>7995794652</v>
      </c>
      <c r="F43" s="334"/>
    </row>
    <row r="44" spans="1:6" ht="7.5" customHeight="1">
      <c r="A44" s="352"/>
      <c r="B44" s="353"/>
      <c r="C44" s="144"/>
      <c r="D44" s="144"/>
      <c r="E44" s="145"/>
      <c r="F44" s="125"/>
    </row>
    <row r="45" spans="1:6" ht="20.100000000000001" customHeight="1">
      <c r="A45" s="91">
        <v>1</v>
      </c>
      <c r="B45" s="91">
        <v>30410</v>
      </c>
      <c r="C45" s="90" t="s">
        <v>304</v>
      </c>
      <c r="D45" s="91" t="s">
        <v>228</v>
      </c>
      <c r="E45" s="135">
        <v>7995622962</v>
      </c>
      <c r="F45" s="332"/>
    </row>
    <row r="46" spans="1:6" ht="20.100000000000001" customHeight="1">
      <c r="A46" s="91">
        <v>2</v>
      </c>
      <c r="B46" s="91">
        <v>30744</v>
      </c>
      <c r="C46" s="90" t="s">
        <v>308</v>
      </c>
      <c r="D46" s="91" t="s">
        <v>309</v>
      </c>
      <c r="E46" s="135">
        <v>8790500801</v>
      </c>
      <c r="F46" s="332"/>
    </row>
    <row r="47" spans="1:6" ht="16.5" customHeight="1">
      <c r="A47" s="146"/>
      <c r="B47" s="146"/>
      <c r="C47" s="146"/>
      <c r="D47" s="146"/>
      <c r="E47" s="147"/>
    </row>
    <row r="48" spans="1:6" ht="20.100000000000001" customHeight="1">
      <c r="A48" s="539" t="s">
        <v>330</v>
      </c>
      <c r="B48" s="539"/>
      <c r="C48" s="539"/>
      <c r="D48" s="539"/>
      <c r="E48" s="540"/>
      <c r="F48" s="313"/>
    </row>
    <row r="49" spans="1:6" ht="20.100000000000001" customHeight="1">
      <c r="A49" s="148">
        <v>1</v>
      </c>
      <c r="B49" s="91"/>
      <c r="C49" s="130" t="s">
        <v>331</v>
      </c>
      <c r="D49" s="131" t="s">
        <v>330</v>
      </c>
      <c r="E49" s="131">
        <v>9845055169</v>
      </c>
      <c r="F49" s="335"/>
    </row>
    <row r="50" spans="1:6" ht="20.100000000000001" customHeight="1">
      <c r="A50" s="148">
        <v>2</v>
      </c>
      <c r="B50" s="91"/>
      <c r="C50" s="130" t="s">
        <v>332</v>
      </c>
      <c r="D50" s="131" t="s">
        <v>330</v>
      </c>
      <c r="E50" s="131">
        <v>9176087125</v>
      </c>
      <c r="F50" s="335"/>
    </row>
    <row r="51" spans="1:6" ht="20.100000000000001" customHeight="1">
      <c r="A51" s="148">
        <v>3</v>
      </c>
      <c r="B51" s="91"/>
      <c r="C51" s="133" t="s">
        <v>333</v>
      </c>
      <c r="D51" s="131" t="s">
        <v>330</v>
      </c>
      <c r="E51" s="131">
        <v>9676354404</v>
      </c>
      <c r="F51" s="335"/>
    </row>
    <row r="52" spans="1:6" ht="20.100000000000001" customHeight="1">
      <c r="A52" s="541"/>
      <c r="B52" s="542"/>
      <c r="C52" s="542"/>
      <c r="D52" s="542"/>
      <c r="E52" s="543"/>
      <c r="F52" s="124"/>
    </row>
    <row r="53" spans="1:6" ht="20.100000000000001" customHeight="1">
      <c r="A53" s="535" t="s">
        <v>283</v>
      </c>
      <c r="B53" s="535"/>
      <c r="C53" s="535"/>
      <c r="D53" s="535"/>
      <c r="E53" s="536"/>
      <c r="F53" s="313"/>
    </row>
    <row r="54" spans="1:6" ht="20.100000000000001" customHeight="1">
      <c r="A54" s="148">
        <v>1</v>
      </c>
      <c r="B54" s="148"/>
      <c r="C54" s="90" t="s">
        <v>334</v>
      </c>
      <c r="D54" s="91" t="s">
        <v>283</v>
      </c>
      <c r="E54" s="91"/>
    </row>
    <row r="55" spans="1:6" ht="20.100000000000001" customHeight="1">
      <c r="A55" s="91">
        <v>2</v>
      </c>
      <c r="B55" s="148"/>
      <c r="C55" s="90" t="s">
        <v>335</v>
      </c>
      <c r="D55" s="91" t="s">
        <v>283</v>
      </c>
      <c r="E55" s="91">
        <v>9632454934</v>
      </c>
    </row>
    <row r="56" spans="1:6" ht="20.100000000000001" customHeight="1">
      <c r="A56" s="148">
        <v>3</v>
      </c>
      <c r="B56" s="148"/>
      <c r="C56" s="90" t="s">
        <v>336</v>
      </c>
      <c r="D56" s="91" t="s">
        <v>283</v>
      </c>
      <c r="E56" s="91"/>
    </row>
    <row r="57" spans="1:6" ht="20.100000000000001" customHeight="1">
      <c r="A57" s="148">
        <v>4</v>
      </c>
      <c r="B57" s="148"/>
      <c r="C57" s="90" t="s">
        <v>337</v>
      </c>
      <c r="D57" s="91" t="s">
        <v>283</v>
      </c>
      <c r="E57" s="91">
        <v>6369058874</v>
      </c>
    </row>
    <row r="59" spans="1:6" ht="20.100000000000001" customHeight="1">
      <c r="A59" s="537" t="s">
        <v>338</v>
      </c>
      <c r="B59" s="537"/>
      <c r="C59" s="537"/>
      <c r="D59" s="537"/>
      <c r="E59" s="537"/>
      <c r="F59" s="336"/>
    </row>
    <row r="60" spans="1:6" ht="20.100000000000001" customHeight="1">
      <c r="A60" s="91">
        <v>1</v>
      </c>
      <c r="B60" s="91">
        <v>30683</v>
      </c>
      <c r="C60" s="90" t="s">
        <v>183</v>
      </c>
      <c r="D60" s="91" t="s">
        <v>62</v>
      </c>
      <c r="E60" s="141">
        <v>7075547599</v>
      </c>
      <c r="F60" s="334"/>
    </row>
    <row r="61" spans="1:6" ht="20.100000000000001" customHeight="1">
      <c r="A61" s="91">
        <v>2</v>
      </c>
      <c r="B61" s="91">
        <v>30681</v>
      </c>
      <c r="C61" s="90" t="s">
        <v>185</v>
      </c>
      <c r="D61" s="91" t="s">
        <v>62</v>
      </c>
      <c r="E61" s="141">
        <v>7981570764</v>
      </c>
      <c r="F61" s="334"/>
    </row>
    <row r="62" spans="1:6" ht="20.100000000000001" customHeight="1">
      <c r="A62" s="91">
        <v>3</v>
      </c>
      <c r="B62" s="91">
        <v>30682</v>
      </c>
      <c r="C62" s="90" t="s">
        <v>186</v>
      </c>
      <c r="D62" s="91" t="s">
        <v>62</v>
      </c>
      <c r="E62" s="141">
        <v>9515188096</v>
      </c>
      <c r="F62" s="334"/>
    </row>
    <row r="63" spans="1:6" ht="20.100000000000001" customHeight="1">
      <c r="A63" s="91">
        <v>4</v>
      </c>
      <c r="B63" s="91">
        <v>30685</v>
      </c>
      <c r="C63" s="90" t="s">
        <v>187</v>
      </c>
      <c r="D63" s="91" t="s">
        <v>62</v>
      </c>
      <c r="E63" s="141">
        <v>9182032471</v>
      </c>
      <c r="F63" s="334"/>
    </row>
    <row r="64" spans="1:6" ht="20.100000000000001" customHeight="1">
      <c r="A64" s="91">
        <v>5</v>
      </c>
      <c r="B64" s="148">
        <v>30731</v>
      </c>
      <c r="C64" s="140" t="s">
        <v>293</v>
      </c>
      <c r="D64" s="91" t="s">
        <v>62</v>
      </c>
      <c r="E64" s="141">
        <v>9701843396</v>
      </c>
      <c r="F64" s="334"/>
    </row>
    <row r="70" spans="1:7" ht="20.100000000000001" customHeight="1">
      <c r="A70" s="148" t="s">
        <v>239</v>
      </c>
      <c r="B70" s="91" t="s">
        <v>532</v>
      </c>
      <c r="C70" s="90" t="s">
        <v>3</v>
      </c>
      <c r="D70" s="90" t="s">
        <v>4</v>
      </c>
      <c r="E70" s="91" t="s">
        <v>533</v>
      </c>
      <c r="F70" s="91" t="s">
        <v>7</v>
      </c>
      <c r="G70" s="91" t="s">
        <v>534</v>
      </c>
    </row>
    <row r="71" spans="1:7" ht="20.100000000000001" customHeight="1">
      <c r="A71" s="148"/>
      <c r="B71" s="337">
        <v>1398</v>
      </c>
      <c r="C71" s="338" t="s">
        <v>535</v>
      </c>
      <c r="D71" s="339" t="s">
        <v>27</v>
      </c>
      <c r="E71" s="339">
        <v>8121813525</v>
      </c>
      <c r="F71" s="340">
        <v>42579</v>
      </c>
      <c r="G71" s="341">
        <v>45049</v>
      </c>
    </row>
    <row r="72" spans="1:7" ht="20.100000000000001" customHeight="1">
      <c r="A72" s="148"/>
      <c r="B72" s="342">
        <v>2225</v>
      </c>
      <c r="C72" s="343" t="s">
        <v>536</v>
      </c>
      <c r="D72" s="339" t="s">
        <v>34</v>
      </c>
      <c r="E72" s="344">
        <v>8890528683</v>
      </c>
      <c r="F72" s="345">
        <v>44592</v>
      </c>
      <c r="G72" s="341">
        <v>45061</v>
      </c>
    </row>
    <row r="73" spans="1:7" ht="20.100000000000001" customHeight="1">
      <c r="A73" s="148"/>
      <c r="B73" s="346">
        <v>30409</v>
      </c>
      <c r="C73" s="347" t="s">
        <v>537</v>
      </c>
      <c r="D73" s="344" t="s">
        <v>62</v>
      </c>
      <c r="E73" s="76">
        <v>8317587282</v>
      </c>
      <c r="F73" s="61">
        <v>44928</v>
      </c>
      <c r="G73" s="150" t="s">
        <v>538</v>
      </c>
    </row>
    <row r="74" spans="1:7" ht="20.100000000000001" customHeight="1">
      <c r="A74" s="148"/>
      <c r="B74" s="346">
        <v>30408</v>
      </c>
      <c r="C74" s="347" t="s">
        <v>539</v>
      </c>
      <c r="D74" s="344" t="s">
        <v>62</v>
      </c>
      <c r="E74" s="76">
        <v>9966049218</v>
      </c>
      <c r="F74" s="61">
        <v>45048</v>
      </c>
      <c r="G74" s="150" t="s">
        <v>540</v>
      </c>
    </row>
    <row r="75" spans="1:7" ht="20.100000000000001" customHeight="1">
      <c r="A75" s="148"/>
      <c r="B75" s="346">
        <v>2496</v>
      </c>
      <c r="C75" s="349" t="s">
        <v>541</v>
      </c>
      <c r="D75" s="350" t="s">
        <v>34</v>
      </c>
      <c r="E75" s="76">
        <v>8420610558</v>
      </c>
      <c r="F75" s="62">
        <v>45099</v>
      </c>
      <c r="G75" s="61">
        <v>45122</v>
      </c>
    </row>
    <row r="76" spans="1:7" ht="20.100000000000001" customHeight="1">
      <c r="A76" s="148"/>
      <c r="B76" s="76">
        <v>2505</v>
      </c>
      <c r="C76" s="207" t="s">
        <v>542</v>
      </c>
      <c r="D76" s="201" t="s">
        <v>34</v>
      </c>
      <c r="E76" s="76">
        <v>9451253540</v>
      </c>
      <c r="F76" s="62">
        <v>45108</v>
      </c>
      <c r="G76" s="91"/>
    </row>
    <row r="77" spans="1:7" ht="20.100000000000001" customHeight="1">
      <c r="A77" s="148"/>
      <c r="B77" s="76"/>
      <c r="C77" s="348" t="s">
        <v>543</v>
      </c>
      <c r="D77" s="350" t="s">
        <v>68</v>
      </c>
      <c r="E77" s="76"/>
      <c r="F77" s="96">
        <v>45139</v>
      </c>
      <c r="G77" s="91"/>
    </row>
    <row r="78" spans="1:7" ht="20.100000000000001" customHeight="1">
      <c r="A78" s="148"/>
      <c r="B78" s="76"/>
      <c r="C78" s="348" t="s">
        <v>544</v>
      </c>
      <c r="D78" s="350" t="s">
        <v>68</v>
      </c>
      <c r="E78" s="76"/>
      <c r="F78" s="96">
        <v>45139</v>
      </c>
      <c r="G78" s="91"/>
    </row>
    <row r="79" spans="1:7" s="358" customFormat="1" ht="20.100000000000001" customHeight="1">
      <c r="A79" s="354"/>
      <c r="B79" s="309">
        <v>2560</v>
      </c>
      <c r="C79" s="351" t="s">
        <v>244</v>
      </c>
      <c r="D79" s="355" t="s">
        <v>147</v>
      </c>
      <c r="E79" s="309">
        <v>9494852495</v>
      </c>
      <c r="F79" s="356">
        <v>45142</v>
      </c>
      <c r="G79" s="357"/>
    </row>
    <row r="80" spans="1:7" s="358" customFormat="1" ht="20.100000000000001" customHeight="1">
      <c r="A80" s="354"/>
      <c r="B80" s="309">
        <v>2687</v>
      </c>
      <c r="C80" s="351" t="s">
        <v>153</v>
      </c>
      <c r="D80" s="359" t="s">
        <v>34</v>
      </c>
      <c r="E80" s="309">
        <v>9668112717</v>
      </c>
      <c r="F80" s="356">
        <v>45287</v>
      </c>
      <c r="G80" s="360">
        <v>45350</v>
      </c>
    </row>
    <row r="81" spans="1:7" ht="20.100000000000001" customHeight="1">
      <c r="A81" s="148"/>
      <c r="B81" s="76"/>
      <c r="C81" s="349"/>
      <c r="D81" s="350"/>
      <c r="E81" s="76"/>
      <c r="F81" s="96"/>
      <c r="G81" s="91"/>
    </row>
    <row r="82" spans="1:7" ht="20.100000000000001" customHeight="1">
      <c r="A82" s="148"/>
      <c r="B82" s="76"/>
      <c r="C82" s="349"/>
      <c r="D82" s="350"/>
      <c r="E82" s="76"/>
      <c r="F82" s="96"/>
      <c r="G82" s="91"/>
    </row>
    <row r="83" spans="1:7" ht="20.100000000000001" customHeight="1">
      <c r="A83" s="148"/>
      <c r="B83" s="76"/>
      <c r="C83" s="349"/>
      <c r="D83" s="350"/>
      <c r="E83" s="76"/>
      <c r="F83" s="96"/>
      <c r="G83" s="91"/>
    </row>
    <row r="84" spans="1:7" ht="20.100000000000001" customHeight="1">
      <c r="A84" s="148"/>
      <c r="B84" s="76"/>
      <c r="C84" s="349"/>
      <c r="D84" s="350"/>
      <c r="E84" s="76"/>
      <c r="F84" s="96"/>
      <c r="G84" s="91"/>
    </row>
    <row r="85" spans="1:7" ht="20.100000000000001" customHeight="1">
      <c r="A85" s="148"/>
      <c r="B85" s="76"/>
      <c r="C85" s="349"/>
      <c r="D85" s="350"/>
      <c r="E85" s="76"/>
      <c r="F85" s="96"/>
      <c r="G85" s="91"/>
    </row>
    <row r="86" spans="1:7" ht="20.100000000000001" customHeight="1">
      <c r="A86" s="148"/>
      <c r="B86" s="76"/>
      <c r="C86" s="349"/>
      <c r="D86" s="350"/>
      <c r="E86" s="76"/>
      <c r="F86" s="96"/>
      <c r="G86" s="91"/>
    </row>
    <row r="87" spans="1:7" ht="20.100000000000001" customHeight="1">
      <c r="A87" s="148"/>
      <c r="B87" s="318">
        <v>2977</v>
      </c>
      <c r="C87" s="315" t="s">
        <v>367</v>
      </c>
      <c r="D87" s="318" t="s">
        <v>68</v>
      </c>
      <c r="E87" s="319">
        <v>9039466727</v>
      </c>
      <c r="F87" s="319"/>
      <c r="G87" s="320">
        <v>45675</v>
      </c>
    </row>
    <row r="88" spans="1:7" ht="20.100000000000001" customHeight="1">
      <c r="A88" s="148"/>
      <c r="B88" s="316">
        <v>2693</v>
      </c>
      <c r="C88" s="321" t="s">
        <v>300</v>
      </c>
      <c r="D88" s="322" t="s">
        <v>68</v>
      </c>
      <c r="E88" s="316">
        <v>9094802494</v>
      </c>
      <c r="F88" s="316"/>
      <c r="G88" s="328">
        <v>45762</v>
      </c>
    </row>
    <row r="89" spans="1:7" ht="20.100000000000001" customHeight="1">
      <c r="A89" s="148"/>
      <c r="B89" s="316">
        <v>2899</v>
      </c>
      <c r="C89" s="321" t="s">
        <v>307</v>
      </c>
      <c r="D89" s="316" t="s">
        <v>62</v>
      </c>
      <c r="E89" s="316">
        <v>8765540772</v>
      </c>
      <c r="F89" s="316"/>
      <c r="G89" s="328">
        <v>45757</v>
      </c>
    </row>
    <row r="90" spans="1:7" ht="20.100000000000001" customHeight="1">
      <c r="A90" s="148"/>
      <c r="B90" s="316">
        <v>2984</v>
      </c>
      <c r="C90" s="315" t="s">
        <v>196</v>
      </c>
      <c r="D90" s="316" t="s">
        <v>68</v>
      </c>
      <c r="E90" s="317">
        <v>9652992125</v>
      </c>
      <c r="F90" s="317"/>
      <c r="G90" s="328">
        <v>45777</v>
      </c>
    </row>
    <row r="91" spans="1:7" ht="20.100000000000001" customHeight="1">
      <c r="A91" s="148"/>
      <c r="B91" s="316">
        <v>2763</v>
      </c>
      <c r="C91" s="324" t="s">
        <v>260</v>
      </c>
      <c r="D91" s="322" t="s">
        <v>157</v>
      </c>
      <c r="E91" s="316">
        <v>9182759154</v>
      </c>
      <c r="F91" s="316"/>
      <c r="G91" s="329">
        <v>45517</v>
      </c>
    </row>
    <row r="92" spans="1:7" ht="20.100000000000001" customHeight="1">
      <c r="A92" s="148"/>
      <c r="B92" s="316">
        <v>2819</v>
      </c>
      <c r="C92" s="321" t="s">
        <v>264</v>
      </c>
      <c r="D92" s="322" t="s">
        <v>68</v>
      </c>
      <c r="E92" s="316">
        <v>9315797477</v>
      </c>
      <c r="F92" s="316"/>
      <c r="G92" s="316" t="s">
        <v>303</v>
      </c>
    </row>
    <row r="93" spans="1:7" ht="20.100000000000001" customHeight="1">
      <c r="A93" s="148"/>
      <c r="B93" s="322">
        <v>2680</v>
      </c>
      <c r="C93" s="323" t="s">
        <v>262</v>
      </c>
      <c r="D93" s="322" t="s">
        <v>68</v>
      </c>
      <c r="E93" s="316">
        <v>9840972744</v>
      </c>
      <c r="F93" s="316"/>
      <c r="G93" s="330">
        <v>45657</v>
      </c>
    </row>
    <row r="94" spans="1:7" ht="20.100000000000001" customHeight="1">
      <c r="A94" s="148"/>
      <c r="B94" s="316">
        <v>2721</v>
      </c>
      <c r="C94" s="324" t="s">
        <v>156</v>
      </c>
      <c r="D94" s="322" t="s">
        <v>157</v>
      </c>
      <c r="E94" s="316">
        <v>9094802495</v>
      </c>
      <c r="F94" s="316"/>
      <c r="G94" s="330">
        <v>45724</v>
      </c>
    </row>
    <row r="95" spans="1:7" ht="20.100000000000001" customHeight="1">
      <c r="A95" s="148"/>
      <c r="B95" s="79">
        <v>2814</v>
      </c>
      <c r="C95" s="325" t="s">
        <v>327</v>
      </c>
      <c r="D95" s="111" t="s">
        <v>68</v>
      </c>
      <c r="E95" s="79">
        <v>8056033643</v>
      </c>
      <c r="F95" s="79"/>
      <c r="G95" s="327">
        <v>45829</v>
      </c>
    </row>
    <row r="96" spans="1:7" ht="20.100000000000001" customHeight="1">
      <c r="A96" s="148"/>
      <c r="B96" s="79">
        <v>2493</v>
      </c>
      <c r="C96" s="110" t="s">
        <v>220</v>
      </c>
      <c r="D96" s="157" t="s">
        <v>157</v>
      </c>
      <c r="E96" s="79">
        <v>8940506036</v>
      </c>
      <c r="F96" s="79"/>
      <c r="G96" s="327">
        <v>45839</v>
      </c>
    </row>
    <row r="97" spans="1:7" ht="20.100000000000001" customHeight="1">
      <c r="A97" s="148"/>
      <c r="B97" s="290">
        <v>2826</v>
      </c>
      <c r="C97" s="326" t="s">
        <v>178</v>
      </c>
      <c r="D97" s="290" t="s">
        <v>62</v>
      </c>
      <c r="E97" s="290">
        <v>9542588470</v>
      </c>
      <c r="F97" s="290"/>
      <c r="G97" s="327">
        <v>45850</v>
      </c>
    </row>
    <row r="98" spans="1:7" ht="20.100000000000001" customHeight="1">
      <c r="A98" s="148"/>
      <c r="B98" s="294">
        <v>2637</v>
      </c>
      <c r="C98" s="295" t="s">
        <v>261</v>
      </c>
      <c r="D98" s="294" t="s">
        <v>68</v>
      </c>
      <c r="E98" s="290">
        <v>9706631085</v>
      </c>
      <c r="F98" s="290"/>
      <c r="G98" s="296"/>
    </row>
    <row r="99" spans="1:7" ht="20.100000000000001" customHeight="1">
      <c r="A99" s="148"/>
      <c r="B99" s="91"/>
      <c r="C99" s="90"/>
      <c r="D99" s="90"/>
      <c r="E99" s="91"/>
      <c r="F99" s="91"/>
      <c r="G99" s="91"/>
    </row>
    <row r="100" spans="1:7" ht="20.100000000000001" customHeight="1">
      <c r="B100" s="124"/>
      <c r="C100" s="127"/>
      <c r="D100" s="127"/>
    </row>
  </sheetData>
  <mergeCells count="7">
    <mergeCell ref="A53:E53"/>
    <mergeCell ref="A59:E59"/>
    <mergeCell ref="A1:E1"/>
    <mergeCell ref="A2:E2"/>
    <mergeCell ref="A3:E3"/>
    <mergeCell ref="A48:E48"/>
    <mergeCell ref="A52:E52"/>
  </mergeCells>
  <conditionalFormatting sqref="B19:B20">
    <cfRule type="duplicateValues" dxfId="35" priority="2"/>
  </conditionalFormatting>
  <conditionalFormatting sqref="B22:B23">
    <cfRule type="duplicateValues" dxfId="34" priority="1"/>
  </conditionalFormatting>
  <pageMargins left="0.39370078740157499" right="0.39370078740157499" top="0.39370078740157499" bottom="0.39370078740157499" header="0.31496062992126" footer="0.31496062992126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0"/>
  <sheetViews>
    <sheetView topLeftCell="A13" workbookViewId="0">
      <selection activeCell="B17" sqref="B17:E17"/>
    </sheetView>
  </sheetViews>
  <sheetFormatPr defaultColWidth="9" defaultRowHeight="15.6"/>
  <cols>
    <col min="1" max="1" width="6" customWidth="1"/>
    <col min="2" max="2" width="7.6640625" customWidth="1"/>
    <col min="3" max="3" width="39.44140625" customWidth="1"/>
    <col min="4" max="4" width="32" customWidth="1"/>
    <col min="5" max="5" width="14.33203125" style="82" customWidth="1"/>
    <col min="6" max="6" width="5.88671875" customWidth="1"/>
  </cols>
  <sheetData>
    <row r="1" spans="1:5" ht="13.5" customHeight="1">
      <c r="A1" s="514" t="s">
        <v>47</v>
      </c>
      <c r="B1" s="514"/>
      <c r="C1" s="514"/>
      <c r="D1" s="514"/>
      <c r="E1" s="514"/>
    </row>
    <row r="2" spans="1:5" ht="16.5" customHeight="1">
      <c r="A2" s="514" t="s">
        <v>274</v>
      </c>
      <c r="B2" s="514"/>
      <c r="C2" s="514"/>
      <c r="D2" s="514"/>
      <c r="E2" s="514"/>
    </row>
    <row r="3" spans="1:5" ht="20.100000000000001" customHeight="1">
      <c r="A3" s="544" t="s">
        <v>1</v>
      </c>
      <c r="B3" s="544" t="s">
        <v>216</v>
      </c>
      <c r="C3" s="544" t="s">
        <v>3</v>
      </c>
      <c r="D3" s="544" t="s">
        <v>4</v>
      </c>
      <c r="E3" s="545" t="s">
        <v>8</v>
      </c>
    </row>
    <row r="4" spans="1:5" ht="3.75" customHeight="1">
      <c r="A4" s="544"/>
      <c r="B4" s="544"/>
      <c r="C4" s="544"/>
      <c r="D4" s="544"/>
      <c r="E4" s="546"/>
    </row>
    <row r="5" spans="1:5" ht="20.25" customHeight="1">
      <c r="A5" s="53">
        <v>1</v>
      </c>
      <c r="B5" s="53">
        <v>1251</v>
      </c>
      <c r="C5" s="67" t="s">
        <v>9</v>
      </c>
      <c r="D5" s="68" t="s">
        <v>257</v>
      </c>
      <c r="E5" s="68">
        <v>9840850744</v>
      </c>
    </row>
    <row r="6" spans="1:5" ht="20.25" customHeight="1">
      <c r="A6" s="53">
        <v>2</v>
      </c>
      <c r="B6" s="53">
        <v>308</v>
      </c>
      <c r="C6" s="67" t="s">
        <v>299</v>
      </c>
      <c r="D6" s="68" t="s">
        <v>19</v>
      </c>
      <c r="E6" s="68">
        <v>9908823834</v>
      </c>
    </row>
    <row r="7" spans="1:5" ht="20.25" customHeight="1">
      <c r="A7" s="53">
        <v>3</v>
      </c>
      <c r="B7" s="53">
        <v>1182</v>
      </c>
      <c r="C7" s="70" t="s">
        <v>26</v>
      </c>
      <c r="D7" s="71" t="s">
        <v>258</v>
      </c>
      <c r="E7" s="68">
        <v>9676354404</v>
      </c>
    </row>
    <row r="8" spans="1:5" ht="20.25" customHeight="1">
      <c r="A8" s="53">
        <v>4</v>
      </c>
      <c r="B8" s="53">
        <v>2511</v>
      </c>
      <c r="C8" s="55" t="s">
        <v>109</v>
      </c>
      <c r="D8" s="71" t="s">
        <v>180</v>
      </c>
      <c r="E8" s="53">
        <v>6379772780</v>
      </c>
    </row>
    <row r="9" spans="1:5" ht="20.25" customHeight="1">
      <c r="A9" s="53">
        <v>5</v>
      </c>
      <c r="B9" s="53">
        <v>312</v>
      </c>
      <c r="C9" s="67" t="s">
        <v>42</v>
      </c>
      <c r="D9" s="72" t="s">
        <v>317</v>
      </c>
      <c r="E9" s="68">
        <v>8297208489</v>
      </c>
    </row>
    <row r="10" spans="1:5" ht="20.25" customHeight="1">
      <c r="A10" s="53">
        <v>6</v>
      </c>
      <c r="B10" s="53">
        <v>2090</v>
      </c>
      <c r="C10" s="54" t="s">
        <v>33</v>
      </c>
      <c r="D10" s="71" t="s">
        <v>180</v>
      </c>
      <c r="E10" s="68">
        <v>9441540580</v>
      </c>
    </row>
    <row r="11" spans="1:5" ht="20.25" customHeight="1">
      <c r="A11" s="53">
        <v>7</v>
      </c>
      <c r="B11" s="53">
        <v>2827</v>
      </c>
      <c r="C11" s="55" t="s">
        <v>279</v>
      </c>
      <c r="D11" s="71" t="s">
        <v>180</v>
      </c>
      <c r="E11" s="68">
        <v>8085575111</v>
      </c>
    </row>
    <row r="12" spans="1:5" ht="20.25" customHeight="1">
      <c r="A12" s="53">
        <v>8</v>
      </c>
      <c r="B12" s="53">
        <v>2490</v>
      </c>
      <c r="C12" s="55" t="s">
        <v>83</v>
      </c>
      <c r="D12" s="68" t="s">
        <v>157</v>
      </c>
      <c r="E12" s="53">
        <v>9848129660</v>
      </c>
    </row>
    <row r="13" spans="1:5" ht="20.25" customHeight="1">
      <c r="A13" s="53">
        <v>9</v>
      </c>
      <c r="B13" s="53">
        <v>2493</v>
      </c>
      <c r="C13" s="55" t="s">
        <v>220</v>
      </c>
      <c r="D13" s="68" t="s">
        <v>157</v>
      </c>
      <c r="E13" s="53">
        <v>8940506036</v>
      </c>
    </row>
    <row r="14" spans="1:5" ht="20.25" customHeight="1">
      <c r="A14" s="53">
        <v>10</v>
      </c>
      <c r="B14" s="53">
        <v>2499</v>
      </c>
      <c r="C14" s="73" t="s">
        <v>221</v>
      </c>
      <c r="D14" s="68" t="s">
        <v>157</v>
      </c>
      <c r="E14" s="53">
        <v>9994476533</v>
      </c>
    </row>
    <row r="15" spans="1:5" ht="20.25" customHeight="1">
      <c r="A15" s="53">
        <v>11</v>
      </c>
      <c r="B15" s="53">
        <v>2501</v>
      </c>
      <c r="C15" s="55" t="s">
        <v>101</v>
      </c>
      <c r="D15" s="68" t="s">
        <v>157</v>
      </c>
      <c r="E15" s="53">
        <v>9848052474</v>
      </c>
    </row>
    <row r="16" spans="1:5" ht="20.25" customHeight="1">
      <c r="A16" s="53">
        <v>12</v>
      </c>
      <c r="B16" s="53">
        <v>2541</v>
      </c>
      <c r="C16" s="54" t="s">
        <v>127</v>
      </c>
      <c r="D16" s="68" t="s">
        <v>157</v>
      </c>
      <c r="E16" s="53">
        <v>7981738522</v>
      </c>
    </row>
    <row r="17" spans="1:5" ht="20.25" customHeight="1">
      <c r="A17" s="53">
        <v>13</v>
      </c>
      <c r="B17" s="53">
        <v>2721</v>
      </c>
      <c r="C17" s="54" t="s">
        <v>156</v>
      </c>
      <c r="D17" s="68" t="s">
        <v>157</v>
      </c>
      <c r="E17" s="53">
        <v>9094802495</v>
      </c>
    </row>
    <row r="18" spans="1:5" ht="20.25" customHeight="1">
      <c r="A18" s="53">
        <v>14</v>
      </c>
      <c r="B18" s="53">
        <v>2947</v>
      </c>
      <c r="C18" s="69" t="s">
        <v>204</v>
      </c>
      <c r="D18" s="68" t="s">
        <v>157</v>
      </c>
      <c r="E18" s="53">
        <v>9032045840</v>
      </c>
    </row>
    <row r="19" spans="1:5" ht="20.25" customHeight="1">
      <c r="A19" s="53">
        <v>15</v>
      </c>
      <c r="B19" s="53">
        <v>540</v>
      </c>
      <c r="C19" s="67" t="s">
        <v>49</v>
      </c>
      <c r="D19" s="71" t="s">
        <v>68</v>
      </c>
      <c r="E19" s="68">
        <v>9550367172</v>
      </c>
    </row>
    <row r="20" spans="1:5" ht="20.25" customHeight="1">
      <c r="A20" s="53">
        <v>16</v>
      </c>
      <c r="B20" s="53">
        <v>1181</v>
      </c>
      <c r="C20" s="70" t="s">
        <v>55</v>
      </c>
      <c r="D20" s="71" t="s">
        <v>68</v>
      </c>
      <c r="E20" s="68">
        <v>9493670612</v>
      </c>
    </row>
    <row r="21" spans="1:5" ht="20.25" customHeight="1">
      <c r="A21" s="53">
        <v>17</v>
      </c>
      <c r="B21" s="53">
        <v>1243</v>
      </c>
      <c r="C21" s="70" t="s">
        <v>58</v>
      </c>
      <c r="D21" s="71" t="s">
        <v>68</v>
      </c>
      <c r="E21" s="68">
        <v>8790166779</v>
      </c>
    </row>
    <row r="22" spans="1:5" ht="20.25" customHeight="1">
      <c r="A22" s="53">
        <v>18</v>
      </c>
      <c r="B22" s="53">
        <v>2432</v>
      </c>
      <c r="C22" s="54" t="s">
        <v>280</v>
      </c>
      <c r="D22" s="71" t="s">
        <v>68</v>
      </c>
      <c r="E22" s="53">
        <v>7093243607</v>
      </c>
    </row>
    <row r="23" spans="1:5" ht="20.25" customHeight="1">
      <c r="A23" s="53">
        <v>19</v>
      </c>
      <c r="B23" s="75" t="s">
        <v>66</v>
      </c>
      <c r="C23" s="70" t="s">
        <v>67</v>
      </c>
      <c r="D23" s="71" t="s">
        <v>68</v>
      </c>
      <c r="E23" s="53">
        <v>9614547390</v>
      </c>
    </row>
    <row r="24" spans="1:5" ht="20.25" customHeight="1">
      <c r="A24" s="53">
        <v>20</v>
      </c>
      <c r="B24" s="53">
        <v>2454</v>
      </c>
      <c r="C24" s="54" t="s">
        <v>318</v>
      </c>
      <c r="D24" s="71" t="s">
        <v>68</v>
      </c>
      <c r="E24" s="53">
        <v>7729990303</v>
      </c>
    </row>
    <row r="25" spans="1:5" ht="20.25" customHeight="1">
      <c r="A25" s="53">
        <v>21</v>
      </c>
      <c r="B25" s="53">
        <v>2502</v>
      </c>
      <c r="C25" s="55" t="s">
        <v>107</v>
      </c>
      <c r="D25" s="71" t="s">
        <v>68</v>
      </c>
      <c r="E25" s="53">
        <v>9600605782</v>
      </c>
    </row>
    <row r="26" spans="1:5" ht="20.25" customHeight="1">
      <c r="A26" s="53">
        <v>22</v>
      </c>
      <c r="B26" s="53">
        <v>2514</v>
      </c>
      <c r="C26" s="55" t="s">
        <v>113</v>
      </c>
      <c r="D26" s="71" t="s">
        <v>68</v>
      </c>
      <c r="E26" s="53">
        <v>9500312191</v>
      </c>
    </row>
    <row r="27" spans="1:5" ht="20.25" customHeight="1">
      <c r="A27" s="53">
        <v>23</v>
      </c>
      <c r="B27" s="53">
        <v>2519</v>
      </c>
      <c r="C27" s="55" t="s">
        <v>120</v>
      </c>
      <c r="D27" s="71" t="s">
        <v>68</v>
      </c>
      <c r="E27" s="71">
        <v>8978116834</v>
      </c>
    </row>
    <row r="28" spans="1:5" ht="20.25" customHeight="1">
      <c r="A28" s="53">
        <v>24</v>
      </c>
      <c r="B28" s="71">
        <v>2637</v>
      </c>
      <c r="C28" s="70" t="s">
        <v>261</v>
      </c>
      <c r="D28" s="71" t="s">
        <v>68</v>
      </c>
      <c r="E28" s="53">
        <v>9706631085</v>
      </c>
    </row>
    <row r="29" spans="1:5" ht="20.25" customHeight="1">
      <c r="A29" s="53">
        <v>25</v>
      </c>
      <c r="B29" s="71">
        <v>2689</v>
      </c>
      <c r="C29" s="70" t="s">
        <v>154</v>
      </c>
      <c r="D29" s="71" t="s">
        <v>68</v>
      </c>
      <c r="E29" s="82">
        <v>7006157037</v>
      </c>
    </row>
    <row r="30" spans="1:5" ht="20.25" customHeight="1">
      <c r="A30" s="53">
        <v>26</v>
      </c>
      <c r="B30" s="53">
        <v>2693</v>
      </c>
      <c r="C30" s="55" t="s">
        <v>300</v>
      </c>
      <c r="D30" s="71" t="s">
        <v>68</v>
      </c>
      <c r="E30" s="53">
        <v>9094802494</v>
      </c>
    </row>
    <row r="31" spans="1:5" ht="20.25" customHeight="1">
      <c r="A31" s="53">
        <v>27</v>
      </c>
      <c r="B31" s="53">
        <v>2728</v>
      </c>
      <c r="C31" s="55" t="s">
        <v>163</v>
      </c>
      <c r="D31" s="71" t="s">
        <v>68</v>
      </c>
      <c r="E31" s="53">
        <v>7981960066</v>
      </c>
    </row>
    <row r="32" spans="1:5" ht="20.25" customHeight="1">
      <c r="A32" s="53">
        <v>28</v>
      </c>
      <c r="B32" s="53">
        <v>2765</v>
      </c>
      <c r="C32" s="54" t="s">
        <v>168</v>
      </c>
      <c r="D32" s="71" t="s">
        <v>68</v>
      </c>
      <c r="E32" s="53">
        <v>9788682940</v>
      </c>
    </row>
    <row r="33" spans="1:5" ht="20.25" customHeight="1">
      <c r="A33" s="53">
        <v>29</v>
      </c>
      <c r="B33" s="53">
        <v>2812</v>
      </c>
      <c r="C33" s="77" t="s">
        <v>301</v>
      </c>
      <c r="D33" s="71" t="s">
        <v>68</v>
      </c>
      <c r="E33" s="53">
        <v>7731063177</v>
      </c>
    </row>
    <row r="34" spans="1:5" ht="20.25" customHeight="1">
      <c r="A34" s="53">
        <v>30</v>
      </c>
      <c r="B34" s="53">
        <v>2814</v>
      </c>
      <c r="C34" s="77" t="s">
        <v>327</v>
      </c>
      <c r="D34" s="71" t="s">
        <v>68</v>
      </c>
      <c r="E34" s="53">
        <v>8056033643</v>
      </c>
    </row>
    <row r="35" spans="1:5" ht="20.25" customHeight="1">
      <c r="A35" s="53">
        <v>31</v>
      </c>
      <c r="B35" s="53">
        <v>2512</v>
      </c>
      <c r="C35" s="54" t="s">
        <v>189</v>
      </c>
      <c r="D35" s="71" t="s">
        <v>68</v>
      </c>
      <c r="E35" s="53">
        <v>9292709507</v>
      </c>
    </row>
    <row r="36" spans="1:5" ht="20.25" customHeight="1">
      <c r="A36" s="53">
        <v>32</v>
      </c>
      <c r="B36" s="53">
        <v>2898</v>
      </c>
      <c r="C36" s="73" t="s">
        <v>190</v>
      </c>
      <c r="D36" s="71" t="s">
        <v>68</v>
      </c>
      <c r="E36" s="53">
        <v>9989895732</v>
      </c>
    </row>
    <row r="37" spans="1:5" ht="20.25" customHeight="1">
      <c r="A37" s="53">
        <v>33</v>
      </c>
      <c r="B37" s="53">
        <v>2921</v>
      </c>
      <c r="C37" s="73" t="s">
        <v>191</v>
      </c>
      <c r="D37" s="71" t="s">
        <v>192</v>
      </c>
      <c r="E37" s="56">
        <v>9014766760</v>
      </c>
    </row>
    <row r="38" spans="1:5" ht="20.25" customHeight="1">
      <c r="A38" s="53">
        <v>34</v>
      </c>
      <c r="B38" s="53">
        <v>2934</v>
      </c>
      <c r="C38" s="73" t="s">
        <v>193</v>
      </c>
      <c r="D38" s="71" t="s">
        <v>68</v>
      </c>
      <c r="E38" s="56">
        <v>9440664462</v>
      </c>
    </row>
    <row r="39" spans="1:5" ht="20.25" customHeight="1">
      <c r="A39" s="53">
        <v>35</v>
      </c>
      <c r="B39" s="53">
        <v>2936</v>
      </c>
      <c r="C39" s="73" t="s">
        <v>197</v>
      </c>
      <c r="D39" s="71" t="s">
        <v>198</v>
      </c>
      <c r="E39" s="56">
        <v>8125544167</v>
      </c>
    </row>
    <row r="40" spans="1:5" ht="20.25" customHeight="1">
      <c r="A40" s="53">
        <v>36</v>
      </c>
      <c r="B40" s="53">
        <v>2950</v>
      </c>
      <c r="C40" s="69" t="s">
        <v>339</v>
      </c>
      <c r="D40" s="71" t="s">
        <v>198</v>
      </c>
      <c r="E40" s="53">
        <v>9000024070</v>
      </c>
    </row>
    <row r="41" spans="1:5" ht="20.25" customHeight="1">
      <c r="A41" s="53">
        <v>37</v>
      </c>
      <c r="B41" s="53">
        <v>633</v>
      </c>
      <c r="C41" s="54" t="s">
        <v>305</v>
      </c>
      <c r="D41" s="53" t="s">
        <v>320</v>
      </c>
      <c r="E41" s="53">
        <v>9494678628</v>
      </c>
    </row>
    <row r="42" spans="1:5" ht="20.25" customHeight="1">
      <c r="A42" s="53">
        <v>38</v>
      </c>
      <c r="B42" s="53">
        <v>2285</v>
      </c>
      <c r="C42" s="54" t="s">
        <v>306</v>
      </c>
      <c r="D42" s="53" t="s">
        <v>321</v>
      </c>
      <c r="E42" s="53">
        <v>9640066261</v>
      </c>
    </row>
    <row r="43" spans="1:5" ht="20.25" customHeight="1">
      <c r="A43" s="53">
        <v>39</v>
      </c>
      <c r="B43" s="53">
        <v>2826</v>
      </c>
      <c r="C43" s="55" t="s">
        <v>178</v>
      </c>
      <c r="D43" s="53" t="s">
        <v>62</v>
      </c>
      <c r="E43" s="53">
        <v>9542588470</v>
      </c>
    </row>
    <row r="44" spans="1:5" ht="20.25" hidden="1" customHeight="1">
      <c r="A44" s="53">
        <v>40</v>
      </c>
      <c r="B44" s="79">
        <v>2899</v>
      </c>
      <c r="C44" s="110" t="s">
        <v>307</v>
      </c>
      <c r="D44" s="79" t="s">
        <v>62</v>
      </c>
      <c r="E44" s="53">
        <v>8765540772</v>
      </c>
    </row>
    <row r="45" spans="1:5" ht="20.25" customHeight="1">
      <c r="A45" s="53">
        <v>41</v>
      </c>
      <c r="B45" s="53">
        <v>2925</v>
      </c>
      <c r="C45" s="12" t="s">
        <v>200</v>
      </c>
      <c r="D45" s="53" t="s">
        <v>62</v>
      </c>
      <c r="E45" s="56">
        <v>7995794652</v>
      </c>
    </row>
    <row r="46" spans="1:5" ht="20.25" customHeight="1">
      <c r="A46" s="53">
        <v>42</v>
      </c>
      <c r="B46" s="53"/>
      <c r="C46" s="12" t="s">
        <v>194</v>
      </c>
      <c r="D46" s="53" t="s">
        <v>68</v>
      </c>
      <c r="E46" s="56">
        <v>9642674547</v>
      </c>
    </row>
    <row r="47" spans="1:5" ht="19.5" customHeight="1">
      <c r="A47" s="53"/>
      <c r="B47" s="53"/>
      <c r="C47" s="12"/>
      <c r="D47" s="53"/>
      <c r="E47" s="56"/>
    </row>
    <row r="48" spans="1:5" ht="17.25" customHeight="1">
      <c r="A48" s="53">
        <v>43</v>
      </c>
      <c r="B48" s="53">
        <v>30410</v>
      </c>
      <c r="C48" s="55" t="s">
        <v>304</v>
      </c>
      <c r="D48" s="53" t="s">
        <v>228</v>
      </c>
      <c r="E48" s="53">
        <v>7995622962</v>
      </c>
    </row>
    <row r="49" spans="1:5" ht="17.25" customHeight="1">
      <c r="A49" s="53">
        <v>44</v>
      </c>
      <c r="B49" s="53">
        <v>30744</v>
      </c>
      <c r="C49" s="55" t="s">
        <v>308</v>
      </c>
      <c r="D49" s="53" t="s">
        <v>309</v>
      </c>
      <c r="E49" s="53">
        <v>8790500801</v>
      </c>
    </row>
    <row r="50" spans="1:5" ht="17.25" customHeight="1">
      <c r="A50" s="53"/>
      <c r="B50" s="115"/>
      <c r="C50" s="115"/>
      <c r="D50" s="120"/>
      <c r="E50" s="121"/>
    </row>
    <row r="51" spans="1:5" ht="17.25" customHeight="1">
      <c r="A51" s="53">
        <v>1</v>
      </c>
      <c r="B51" s="53">
        <v>30683</v>
      </c>
      <c r="C51" s="55" t="s">
        <v>183</v>
      </c>
      <c r="D51" s="53" t="s">
        <v>62</v>
      </c>
      <c r="E51" s="56">
        <v>7075547599</v>
      </c>
    </row>
    <row r="52" spans="1:5" ht="17.25" customHeight="1">
      <c r="A52" s="79">
        <v>2</v>
      </c>
      <c r="B52" s="79">
        <v>30681</v>
      </c>
      <c r="C52" s="110" t="s">
        <v>185</v>
      </c>
      <c r="D52" s="79" t="s">
        <v>62</v>
      </c>
      <c r="E52" s="80">
        <v>7981570764</v>
      </c>
    </row>
    <row r="53" spans="1:5" ht="17.25" customHeight="1">
      <c r="A53" s="53">
        <v>3</v>
      </c>
      <c r="B53" s="53">
        <v>30682</v>
      </c>
      <c r="C53" s="55" t="s">
        <v>186</v>
      </c>
      <c r="D53" s="53" t="s">
        <v>62</v>
      </c>
      <c r="E53" s="56">
        <v>9515188096</v>
      </c>
    </row>
    <row r="54" spans="1:5" ht="17.25" customHeight="1">
      <c r="A54" s="53">
        <v>4</v>
      </c>
      <c r="B54" s="53">
        <v>30685</v>
      </c>
      <c r="C54" s="55" t="s">
        <v>187</v>
      </c>
      <c r="D54" s="53" t="s">
        <v>62</v>
      </c>
      <c r="E54" s="56">
        <v>9182032471</v>
      </c>
    </row>
    <row r="55" spans="1:5" ht="17.25" customHeight="1">
      <c r="A55" s="53">
        <v>5</v>
      </c>
      <c r="B55" s="80">
        <v>30731</v>
      </c>
      <c r="C55" s="122" t="s">
        <v>293</v>
      </c>
      <c r="D55" s="79" t="s">
        <v>62</v>
      </c>
      <c r="E55" s="80">
        <v>9701843396</v>
      </c>
    </row>
    <row r="56" spans="1:5" ht="20.100000000000001" customHeight="1">
      <c r="A56" s="84"/>
      <c r="E56" s="81"/>
    </row>
    <row r="57" spans="1:5" ht="20.100000000000001" customHeight="1">
      <c r="A57" s="85" t="s">
        <v>323</v>
      </c>
      <c r="B57" s="85"/>
      <c r="C57" s="85"/>
      <c r="D57" s="85"/>
      <c r="E57" s="65"/>
    </row>
    <row r="58" spans="1:5" ht="20.100000000000001" customHeight="1">
      <c r="A58" s="53">
        <v>1</v>
      </c>
      <c r="B58" s="71">
        <v>2646</v>
      </c>
      <c r="C58" s="70" t="s">
        <v>245</v>
      </c>
      <c r="D58" s="68" t="s">
        <v>267</v>
      </c>
      <c r="E58" s="53">
        <v>6300035358</v>
      </c>
    </row>
    <row r="59" spans="1:5" ht="20.100000000000001" customHeight="1">
      <c r="A59" s="53">
        <v>2</v>
      </c>
      <c r="B59" s="71">
        <v>2686</v>
      </c>
      <c r="C59" s="70" t="s">
        <v>268</v>
      </c>
      <c r="D59" s="68" t="s">
        <v>267</v>
      </c>
      <c r="E59" s="53">
        <v>8247346900</v>
      </c>
    </row>
    <row r="60" spans="1:5" ht="20.100000000000001" customHeight="1">
      <c r="A60" s="53">
        <v>3</v>
      </c>
      <c r="B60" s="71">
        <v>2614</v>
      </c>
      <c r="C60" s="70" t="s">
        <v>269</v>
      </c>
      <c r="D60" s="68" t="s">
        <v>147</v>
      </c>
      <c r="E60" s="53">
        <v>9581958972</v>
      </c>
    </row>
    <row r="61" spans="1:5" ht="20.100000000000001" customHeight="1">
      <c r="A61" s="53">
        <v>4</v>
      </c>
      <c r="B61" s="71">
        <v>2852</v>
      </c>
      <c r="C61" s="70" t="s">
        <v>205</v>
      </c>
      <c r="D61" s="68" t="s">
        <v>147</v>
      </c>
      <c r="E61" s="53">
        <v>7981683088</v>
      </c>
    </row>
    <row r="62" spans="1:5" ht="20.100000000000001" customHeight="1">
      <c r="A62" s="53">
        <v>5</v>
      </c>
      <c r="B62" s="71">
        <v>2862</v>
      </c>
      <c r="C62" s="70" t="s">
        <v>206</v>
      </c>
      <c r="D62" s="68" t="s">
        <v>147</v>
      </c>
      <c r="E62" s="53">
        <v>9966109473</v>
      </c>
    </row>
    <row r="63" spans="1:5" ht="20.100000000000001" customHeight="1">
      <c r="A63" s="53">
        <v>6</v>
      </c>
      <c r="B63" s="71">
        <v>2932</v>
      </c>
      <c r="C63" s="70" t="s">
        <v>207</v>
      </c>
      <c r="D63" s="68" t="s">
        <v>147</v>
      </c>
      <c r="E63" s="53">
        <v>7672052900</v>
      </c>
    </row>
    <row r="64" spans="1:5" ht="20.100000000000001" customHeight="1">
      <c r="A64" s="53">
        <v>7</v>
      </c>
      <c r="B64" s="71">
        <v>2935</v>
      </c>
      <c r="C64" s="70" t="s">
        <v>208</v>
      </c>
      <c r="D64" s="68" t="s">
        <v>147</v>
      </c>
      <c r="E64" s="53">
        <v>9948686959</v>
      </c>
    </row>
    <row r="65" spans="1:5" ht="20.100000000000001" customHeight="1">
      <c r="A65" s="53">
        <v>8</v>
      </c>
      <c r="B65" s="71">
        <v>2940</v>
      </c>
      <c r="C65" s="70" t="s">
        <v>209</v>
      </c>
      <c r="D65" s="68" t="s">
        <v>147</v>
      </c>
      <c r="E65" s="53">
        <v>7799595004</v>
      </c>
    </row>
    <row r="66" spans="1:5" ht="20.100000000000001" customHeight="1">
      <c r="A66" s="53">
        <v>9</v>
      </c>
      <c r="B66" s="71">
        <v>2952</v>
      </c>
      <c r="C66" s="73" t="s">
        <v>210</v>
      </c>
      <c r="D66" s="68" t="s">
        <v>147</v>
      </c>
      <c r="E66" s="53">
        <v>6302946907</v>
      </c>
    </row>
    <row r="67" spans="1:5" ht="20.100000000000001" customHeight="1">
      <c r="A67" s="87"/>
      <c r="B67" s="87"/>
      <c r="D67" s="87"/>
    </row>
    <row r="68" spans="1:5" ht="20.100000000000001" customHeight="1">
      <c r="A68" s="529" t="s">
        <v>325</v>
      </c>
      <c r="B68" s="529"/>
      <c r="C68" s="529"/>
      <c r="D68" s="529"/>
      <c r="E68" s="529"/>
    </row>
    <row r="69" spans="1:5" ht="20.100000000000001" customHeight="1">
      <c r="A69" s="53">
        <v>1</v>
      </c>
      <c r="B69" s="53">
        <v>629</v>
      </c>
      <c r="C69" s="54" t="s">
        <v>248</v>
      </c>
      <c r="D69" s="53" t="s">
        <v>270</v>
      </c>
      <c r="E69" s="53">
        <v>9502200265</v>
      </c>
    </row>
    <row r="70" spans="1:5" ht="20.100000000000001" customHeight="1">
      <c r="A70" s="53">
        <v>2</v>
      </c>
      <c r="B70" s="53">
        <v>2538</v>
      </c>
      <c r="C70" s="55" t="s">
        <v>271</v>
      </c>
      <c r="D70" s="53" t="s">
        <v>270</v>
      </c>
      <c r="E70" s="53">
        <v>9848526387</v>
      </c>
    </row>
    <row r="71" spans="1:5" ht="20.100000000000001" customHeight="1">
      <c r="A71" s="53">
        <v>3</v>
      </c>
      <c r="B71" s="53">
        <v>2613</v>
      </c>
      <c r="C71" s="54" t="s">
        <v>272</v>
      </c>
      <c r="D71" s="56" t="s">
        <v>251</v>
      </c>
      <c r="E71" s="53">
        <v>973912337</v>
      </c>
    </row>
    <row r="72" spans="1:5" ht="20.100000000000001" customHeight="1">
      <c r="A72" s="53">
        <v>4</v>
      </c>
      <c r="B72" s="53">
        <v>2700</v>
      </c>
      <c r="C72" s="54" t="s">
        <v>273</v>
      </c>
      <c r="D72" s="53" t="s">
        <v>251</v>
      </c>
      <c r="E72" s="53"/>
    </row>
    <row r="73" spans="1:5" ht="20.100000000000001" customHeight="1"/>
    <row r="75" spans="1:5" ht="14.4">
      <c r="D75" s="69" t="s">
        <v>340</v>
      </c>
      <c r="E75" s="123">
        <v>44</v>
      </c>
    </row>
    <row r="76" spans="1:5" ht="14.4">
      <c r="D76" s="69" t="s">
        <v>341</v>
      </c>
      <c r="E76" s="123">
        <v>2</v>
      </c>
    </row>
    <row r="77" spans="1:5" ht="14.4">
      <c r="D77" s="69" t="s">
        <v>342</v>
      </c>
      <c r="E77" s="123">
        <v>5</v>
      </c>
    </row>
    <row r="78" spans="1:5" ht="14.4">
      <c r="D78" s="69" t="s">
        <v>343</v>
      </c>
      <c r="E78" s="123">
        <v>9</v>
      </c>
    </row>
    <row r="79" spans="1:5" ht="14.4">
      <c r="D79" s="69" t="s">
        <v>344</v>
      </c>
      <c r="E79" s="123">
        <v>4</v>
      </c>
    </row>
    <row r="80" spans="1:5" ht="14.4">
      <c r="D80" s="69"/>
      <c r="E80" s="123">
        <f>SUM(E75:E79)</f>
        <v>64</v>
      </c>
    </row>
  </sheetData>
  <mergeCells count="8">
    <mergeCell ref="A1:E1"/>
    <mergeCell ref="A2:E2"/>
    <mergeCell ref="A68:E68"/>
    <mergeCell ref="A3:A4"/>
    <mergeCell ref="B3:B4"/>
    <mergeCell ref="C3:C4"/>
    <mergeCell ref="D3:D4"/>
    <mergeCell ref="E3:E4"/>
  </mergeCells>
  <conditionalFormatting sqref="B20:B21">
    <cfRule type="duplicateValues" dxfId="33" priority="2"/>
  </conditionalFormatting>
  <conditionalFormatting sqref="B23:B24">
    <cfRule type="duplicateValues" dxfId="32" priority="1"/>
  </conditionalFormatting>
  <pageMargins left="0.39370078740157499" right="0.39370078740157499" top="0.39370078740157499" bottom="0.39370078740157499" header="0.31496062992126" footer="0.31496062992126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2"/>
  <sheetViews>
    <sheetView topLeftCell="A37" workbookViewId="0">
      <selection activeCell="C17" sqref="C17"/>
    </sheetView>
  </sheetViews>
  <sheetFormatPr defaultColWidth="9" defaultRowHeight="14.4"/>
  <cols>
    <col min="1" max="1" width="8.33203125" customWidth="1"/>
    <col min="2" max="2" width="8.5546875" customWidth="1"/>
    <col min="3" max="3" width="31.88671875" customWidth="1"/>
    <col min="4" max="4" width="36.33203125" customWidth="1"/>
    <col min="5" max="5" width="18" customWidth="1"/>
  </cols>
  <sheetData>
    <row r="1" spans="1:5" ht="20.100000000000001" customHeight="1">
      <c r="A1" s="514" t="s">
        <v>47</v>
      </c>
      <c r="B1" s="514"/>
      <c r="C1" s="514"/>
      <c r="D1" s="514"/>
      <c r="E1" s="514"/>
    </row>
    <row r="2" spans="1:5" ht="15" customHeight="1">
      <c r="A2" s="514" t="s">
        <v>274</v>
      </c>
      <c r="B2" s="514"/>
      <c r="C2" s="514"/>
      <c r="D2" s="514"/>
      <c r="E2" s="514"/>
    </row>
    <row r="3" spans="1:5" ht="20.100000000000001" customHeight="1">
      <c r="A3" s="518" t="s">
        <v>345</v>
      </c>
      <c r="B3" s="518"/>
      <c r="C3" s="518"/>
      <c r="D3" s="518"/>
      <c r="E3" s="518"/>
    </row>
    <row r="4" spans="1:5" ht="20.100000000000001" customHeight="1">
      <c r="A4" s="544" t="s">
        <v>1</v>
      </c>
      <c r="B4" s="547" t="s">
        <v>216</v>
      </c>
      <c r="C4" s="544" t="s">
        <v>3</v>
      </c>
      <c r="D4" s="544" t="s">
        <v>4</v>
      </c>
      <c r="E4" s="544" t="s">
        <v>8</v>
      </c>
    </row>
    <row r="5" spans="1:5" ht="6" customHeight="1">
      <c r="A5" s="544"/>
      <c r="B5" s="547"/>
      <c r="C5" s="544"/>
      <c r="D5" s="544"/>
      <c r="E5" s="544"/>
    </row>
    <row r="6" spans="1:5" ht="16.5" customHeight="1">
      <c r="A6" s="53">
        <v>1</v>
      </c>
      <c r="B6" s="83">
        <v>1251</v>
      </c>
      <c r="C6" s="67" t="s">
        <v>9</v>
      </c>
      <c r="D6" s="68" t="s">
        <v>257</v>
      </c>
      <c r="E6" s="68">
        <v>9840850744</v>
      </c>
    </row>
    <row r="7" spans="1:5" ht="16.5" customHeight="1">
      <c r="A7" s="53">
        <v>2</v>
      </c>
      <c r="B7" s="83">
        <v>308</v>
      </c>
      <c r="C7" s="67" t="s">
        <v>299</v>
      </c>
      <c r="D7" s="68" t="s">
        <v>19</v>
      </c>
      <c r="E7" s="68">
        <v>9908823834</v>
      </c>
    </row>
    <row r="8" spans="1:5" ht="16.5" customHeight="1">
      <c r="A8" s="53">
        <v>3</v>
      </c>
      <c r="B8" s="83">
        <v>1182</v>
      </c>
      <c r="C8" s="70" t="s">
        <v>26</v>
      </c>
      <c r="D8" s="71" t="s">
        <v>258</v>
      </c>
      <c r="E8" s="68">
        <v>9676354404</v>
      </c>
    </row>
    <row r="9" spans="1:5" ht="16.5" customHeight="1">
      <c r="A9" s="53">
        <v>4</v>
      </c>
      <c r="B9" s="83">
        <v>2511</v>
      </c>
      <c r="C9" s="55" t="s">
        <v>109</v>
      </c>
      <c r="D9" s="71" t="s">
        <v>180</v>
      </c>
      <c r="E9" s="53">
        <v>6379772780</v>
      </c>
    </row>
    <row r="10" spans="1:5" ht="23.25" customHeight="1">
      <c r="A10" s="53">
        <v>5</v>
      </c>
      <c r="B10" s="83">
        <v>312</v>
      </c>
      <c r="C10" s="67" t="s">
        <v>42</v>
      </c>
      <c r="D10" s="72" t="s">
        <v>317</v>
      </c>
      <c r="E10" s="68">
        <v>8297208489</v>
      </c>
    </row>
    <row r="11" spans="1:5" ht="16.5" customHeight="1">
      <c r="A11" s="53">
        <v>6</v>
      </c>
      <c r="B11" s="83">
        <v>2090</v>
      </c>
      <c r="C11" s="54" t="s">
        <v>33</v>
      </c>
      <c r="D11" s="71" t="s">
        <v>180</v>
      </c>
      <c r="E11" s="68">
        <v>9441540580</v>
      </c>
    </row>
    <row r="12" spans="1:5" ht="16.5" customHeight="1">
      <c r="A12" s="53">
        <v>7</v>
      </c>
      <c r="B12" s="83">
        <v>2827</v>
      </c>
      <c r="C12" s="55" t="s">
        <v>279</v>
      </c>
      <c r="D12" s="71" t="s">
        <v>180</v>
      </c>
      <c r="E12" s="68">
        <v>8085575111</v>
      </c>
    </row>
    <row r="13" spans="1:5" ht="16.5" customHeight="1">
      <c r="A13" s="53">
        <v>8</v>
      </c>
      <c r="B13" s="83">
        <v>2490</v>
      </c>
      <c r="C13" s="55" t="s">
        <v>83</v>
      </c>
      <c r="D13" s="68" t="s">
        <v>157</v>
      </c>
      <c r="E13" s="53">
        <v>9848129660</v>
      </c>
    </row>
    <row r="14" spans="1:5" ht="16.5" customHeight="1">
      <c r="A14" s="53">
        <v>9</v>
      </c>
      <c r="B14" s="83">
        <v>2493</v>
      </c>
      <c r="C14" s="55" t="s">
        <v>220</v>
      </c>
      <c r="D14" s="68" t="s">
        <v>157</v>
      </c>
      <c r="E14" s="53">
        <v>8940506036</v>
      </c>
    </row>
    <row r="15" spans="1:5" ht="16.5" customHeight="1">
      <c r="A15" s="53">
        <v>10</v>
      </c>
      <c r="B15" s="83">
        <v>2499</v>
      </c>
      <c r="C15" s="73" t="s">
        <v>221</v>
      </c>
      <c r="D15" s="68" t="s">
        <v>157</v>
      </c>
      <c r="E15" s="53">
        <v>9994476533</v>
      </c>
    </row>
    <row r="16" spans="1:5" ht="16.5" customHeight="1">
      <c r="A16" s="53">
        <v>11</v>
      </c>
      <c r="B16" s="83">
        <v>2501</v>
      </c>
      <c r="C16" s="55" t="s">
        <v>101</v>
      </c>
      <c r="D16" s="68" t="s">
        <v>157</v>
      </c>
      <c r="E16" s="53">
        <v>9848052474</v>
      </c>
    </row>
    <row r="17" spans="1:5" ht="16.5" customHeight="1">
      <c r="A17" s="53">
        <v>12</v>
      </c>
      <c r="B17" s="83">
        <v>2541</v>
      </c>
      <c r="C17" s="54" t="s">
        <v>127</v>
      </c>
      <c r="D17" s="68" t="s">
        <v>157</v>
      </c>
      <c r="E17" s="53">
        <v>7981738522</v>
      </c>
    </row>
    <row r="18" spans="1:5" ht="16.5" customHeight="1">
      <c r="A18" s="53">
        <v>13</v>
      </c>
      <c r="B18" s="83">
        <v>2721</v>
      </c>
      <c r="C18" s="54" t="s">
        <v>156</v>
      </c>
      <c r="D18" s="68" t="s">
        <v>157</v>
      </c>
      <c r="E18" s="53">
        <v>9094802495</v>
      </c>
    </row>
    <row r="19" spans="1:5" ht="16.5" customHeight="1">
      <c r="A19" s="53">
        <v>14</v>
      </c>
      <c r="B19" s="83">
        <v>2947</v>
      </c>
      <c r="C19" s="69" t="s">
        <v>204</v>
      </c>
      <c r="D19" s="68" t="s">
        <v>157</v>
      </c>
      <c r="E19" s="53">
        <v>9032045840</v>
      </c>
    </row>
    <row r="20" spans="1:5" ht="16.5" customHeight="1">
      <c r="A20" s="53">
        <v>15</v>
      </c>
      <c r="B20" s="83">
        <v>540</v>
      </c>
      <c r="C20" s="67" t="s">
        <v>49</v>
      </c>
      <c r="D20" s="71" t="s">
        <v>68</v>
      </c>
      <c r="E20" s="68">
        <v>9550367172</v>
      </c>
    </row>
    <row r="21" spans="1:5" ht="16.5" customHeight="1">
      <c r="A21" s="53">
        <v>16</v>
      </c>
      <c r="B21" s="83">
        <v>1181</v>
      </c>
      <c r="C21" s="70" t="s">
        <v>55</v>
      </c>
      <c r="D21" s="71" t="s">
        <v>68</v>
      </c>
      <c r="E21" s="68">
        <v>9493670612</v>
      </c>
    </row>
    <row r="22" spans="1:5" ht="16.5" customHeight="1">
      <c r="A22" s="53">
        <v>17</v>
      </c>
      <c r="B22" s="83">
        <v>1243</v>
      </c>
      <c r="C22" s="70" t="s">
        <v>58</v>
      </c>
      <c r="D22" s="71" t="s">
        <v>68</v>
      </c>
      <c r="E22" s="68">
        <v>8790166779</v>
      </c>
    </row>
    <row r="23" spans="1:5" ht="16.5" customHeight="1">
      <c r="A23" s="53">
        <v>18</v>
      </c>
      <c r="B23" s="83">
        <v>2432</v>
      </c>
      <c r="C23" s="54" t="s">
        <v>280</v>
      </c>
      <c r="D23" s="71" t="s">
        <v>68</v>
      </c>
      <c r="E23" s="53">
        <v>7093243607</v>
      </c>
    </row>
    <row r="24" spans="1:5" ht="16.5" customHeight="1">
      <c r="A24" s="53">
        <v>19</v>
      </c>
      <c r="B24" s="117" t="s">
        <v>66</v>
      </c>
      <c r="C24" s="70" t="s">
        <v>67</v>
      </c>
      <c r="D24" s="71" t="s">
        <v>68</v>
      </c>
      <c r="E24" s="53">
        <v>9614547390</v>
      </c>
    </row>
    <row r="25" spans="1:5" ht="16.5" customHeight="1">
      <c r="A25" s="53">
        <v>20</v>
      </c>
      <c r="B25" s="83">
        <v>2454</v>
      </c>
      <c r="C25" s="54" t="s">
        <v>318</v>
      </c>
      <c r="D25" s="71" t="s">
        <v>68</v>
      </c>
      <c r="E25" s="53">
        <v>7729990303</v>
      </c>
    </row>
    <row r="26" spans="1:5" ht="16.5" customHeight="1">
      <c r="A26" s="53">
        <v>21</v>
      </c>
      <c r="B26" s="83">
        <v>2502</v>
      </c>
      <c r="C26" s="55" t="s">
        <v>107</v>
      </c>
      <c r="D26" s="71" t="s">
        <v>68</v>
      </c>
      <c r="E26" s="53">
        <v>9600605782</v>
      </c>
    </row>
    <row r="27" spans="1:5" ht="16.5" customHeight="1">
      <c r="A27" s="53">
        <v>22</v>
      </c>
      <c r="B27" s="83">
        <v>2514</v>
      </c>
      <c r="C27" s="55" t="s">
        <v>113</v>
      </c>
      <c r="D27" s="71" t="s">
        <v>68</v>
      </c>
      <c r="E27" s="53">
        <v>9500312191</v>
      </c>
    </row>
    <row r="28" spans="1:5" ht="16.5" customHeight="1">
      <c r="A28" s="53">
        <v>23</v>
      </c>
      <c r="B28" s="83">
        <v>2519</v>
      </c>
      <c r="C28" s="55" t="s">
        <v>120</v>
      </c>
      <c r="D28" s="71" t="s">
        <v>68</v>
      </c>
      <c r="E28" s="71">
        <v>8978116834</v>
      </c>
    </row>
    <row r="29" spans="1:5" ht="16.5" customHeight="1">
      <c r="A29" s="53">
        <v>24</v>
      </c>
      <c r="B29" s="118">
        <v>2637</v>
      </c>
      <c r="C29" s="70" t="s">
        <v>261</v>
      </c>
      <c r="D29" s="71" t="s">
        <v>68</v>
      </c>
      <c r="E29" s="53">
        <v>9706631085</v>
      </c>
    </row>
    <row r="30" spans="1:5" ht="16.5" customHeight="1">
      <c r="A30" s="53">
        <v>25</v>
      </c>
      <c r="B30" s="118">
        <v>2689</v>
      </c>
      <c r="C30" s="70" t="s">
        <v>154</v>
      </c>
      <c r="D30" s="71" t="s">
        <v>68</v>
      </c>
      <c r="E30" s="56">
        <v>7006157037</v>
      </c>
    </row>
    <row r="31" spans="1:5" ht="16.5" customHeight="1">
      <c r="A31" s="53">
        <v>26</v>
      </c>
      <c r="B31" s="83">
        <v>2693</v>
      </c>
      <c r="C31" s="55" t="s">
        <v>300</v>
      </c>
      <c r="D31" s="71" t="s">
        <v>68</v>
      </c>
      <c r="E31" s="53">
        <v>9094802494</v>
      </c>
    </row>
    <row r="32" spans="1:5" ht="16.5" customHeight="1">
      <c r="A32" s="53">
        <v>27</v>
      </c>
      <c r="B32" s="83">
        <v>2728</v>
      </c>
      <c r="C32" s="55" t="s">
        <v>163</v>
      </c>
      <c r="D32" s="71" t="s">
        <v>68</v>
      </c>
      <c r="E32" s="53">
        <v>7981960066</v>
      </c>
    </row>
    <row r="33" spans="1:5" ht="16.5" customHeight="1">
      <c r="A33" s="53">
        <v>28</v>
      </c>
      <c r="B33" s="83">
        <v>2765</v>
      </c>
      <c r="C33" s="54" t="s">
        <v>168</v>
      </c>
      <c r="D33" s="71" t="s">
        <v>68</v>
      </c>
      <c r="E33" s="53">
        <v>9788682940</v>
      </c>
    </row>
    <row r="34" spans="1:5" ht="16.5" customHeight="1">
      <c r="A34" s="53">
        <v>29</v>
      </c>
      <c r="B34" s="83">
        <v>2812</v>
      </c>
      <c r="C34" s="119" t="s">
        <v>301</v>
      </c>
      <c r="D34" s="71" t="s">
        <v>68</v>
      </c>
      <c r="E34" s="53">
        <v>7731063177</v>
      </c>
    </row>
    <row r="35" spans="1:5" ht="16.5" customHeight="1">
      <c r="A35" s="53">
        <v>30</v>
      </c>
      <c r="B35" s="83">
        <v>2814</v>
      </c>
      <c r="C35" s="119" t="s">
        <v>327</v>
      </c>
      <c r="D35" s="71" t="s">
        <v>68</v>
      </c>
      <c r="E35" s="53">
        <v>8056033643</v>
      </c>
    </row>
    <row r="36" spans="1:5" ht="16.5" customHeight="1">
      <c r="A36" s="53">
        <v>31</v>
      </c>
      <c r="B36" s="83">
        <v>2512</v>
      </c>
      <c r="C36" s="54" t="s">
        <v>189</v>
      </c>
      <c r="D36" s="71" t="s">
        <v>68</v>
      </c>
      <c r="E36" s="53">
        <v>9292709507</v>
      </c>
    </row>
    <row r="37" spans="1:5" ht="16.5" customHeight="1">
      <c r="A37" s="53">
        <v>32</v>
      </c>
      <c r="B37" s="83">
        <v>2898</v>
      </c>
      <c r="C37" s="73" t="s">
        <v>190</v>
      </c>
      <c r="D37" s="71" t="s">
        <v>68</v>
      </c>
      <c r="E37" s="53">
        <v>9989895732</v>
      </c>
    </row>
    <row r="38" spans="1:5" ht="16.5" customHeight="1">
      <c r="A38" s="53">
        <v>33</v>
      </c>
      <c r="B38" s="83">
        <v>2921</v>
      </c>
      <c r="C38" s="73" t="s">
        <v>191</v>
      </c>
      <c r="D38" s="71" t="s">
        <v>192</v>
      </c>
      <c r="E38" s="56">
        <v>9014766760</v>
      </c>
    </row>
    <row r="39" spans="1:5" ht="16.5" customHeight="1">
      <c r="A39" s="53">
        <v>34</v>
      </c>
      <c r="B39" s="83">
        <v>2934</v>
      </c>
      <c r="C39" s="73" t="s">
        <v>193</v>
      </c>
      <c r="D39" s="71" t="s">
        <v>68</v>
      </c>
      <c r="E39" s="56">
        <v>9440664462</v>
      </c>
    </row>
    <row r="40" spans="1:5" ht="16.5" customHeight="1">
      <c r="A40" s="53">
        <v>35</v>
      </c>
      <c r="B40" s="83">
        <v>2965</v>
      </c>
      <c r="C40" s="12" t="s">
        <v>194</v>
      </c>
      <c r="D40" s="53" t="s">
        <v>68</v>
      </c>
      <c r="E40" s="56">
        <v>9642674547</v>
      </c>
    </row>
    <row r="41" spans="1:5" ht="16.5" customHeight="1">
      <c r="A41" s="53">
        <v>36</v>
      </c>
      <c r="B41" s="53">
        <v>2977</v>
      </c>
      <c r="C41" s="12" t="s">
        <v>195</v>
      </c>
      <c r="D41" s="53" t="s">
        <v>68</v>
      </c>
      <c r="E41" s="56">
        <v>9039466727</v>
      </c>
    </row>
    <row r="42" spans="1:5" ht="16.5" customHeight="1">
      <c r="A42" s="53">
        <v>37</v>
      </c>
      <c r="B42" s="53">
        <v>2984</v>
      </c>
      <c r="C42" s="12" t="s">
        <v>196</v>
      </c>
      <c r="D42" s="53" t="s">
        <v>68</v>
      </c>
      <c r="E42" s="56">
        <v>9652992125</v>
      </c>
    </row>
    <row r="43" spans="1:5" ht="16.5" customHeight="1">
      <c r="A43" s="53">
        <v>38</v>
      </c>
      <c r="B43" s="83">
        <v>2936</v>
      </c>
      <c r="C43" s="73" t="s">
        <v>197</v>
      </c>
      <c r="D43" s="71" t="s">
        <v>198</v>
      </c>
      <c r="E43" s="56">
        <v>8125544167</v>
      </c>
    </row>
    <row r="44" spans="1:5" ht="16.5" customHeight="1">
      <c r="A44" s="53">
        <v>39</v>
      </c>
      <c r="B44" s="83">
        <v>2950</v>
      </c>
      <c r="C44" s="69" t="s">
        <v>199</v>
      </c>
      <c r="D44" s="71" t="s">
        <v>198</v>
      </c>
      <c r="E44" s="53">
        <v>9000024070</v>
      </c>
    </row>
    <row r="45" spans="1:5" ht="16.5" customHeight="1">
      <c r="A45" s="53">
        <v>40</v>
      </c>
      <c r="B45" s="83">
        <v>633</v>
      </c>
      <c r="C45" s="54" t="s">
        <v>305</v>
      </c>
      <c r="D45" s="53" t="s">
        <v>320</v>
      </c>
      <c r="E45" s="53">
        <v>9494678628</v>
      </c>
    </row>
    <row r="46" spans="1:5" ht="16.5" customHeight="1">
      <c r="A46" s="53">
        <v>41</v>
      </c>
      <c r="B46" s="83">
        <v>2285</v>
      </c>
      <c r="C46" s="54" t="s">
        <v>306</v>
      </c>
      <c r="D46" s="53" t="s">
        <v>321</v>
      </c>
      <c r="E46" s="53">
        <v>9640066261</v>
      </c>
    </row>
    <row r="47" spans="1:5" ht="16.5" customHeight="1">
      <c r="A47" s="53">
        <v>42</v>
      </c>
      <c r="B47" s="83">
        <v>2826</v>
      </c>
      <c r="C47" s="55" t="s">
        <v>178</v>
      </c>
      <c r="D47" s="53" t="s">
        <v>62</v>
      </c>
      <c r="E47" s="53">
        <v>9542588470</v>
      </c>
    </row>
    <row r="48" spans="1:5" ht="15">
      <c r="A48" s="112">
        <v>43</v>
      </c>
      <c r="B48" s="113">
        <v>2899</v>
      </c>
      <c r="C48" s="114" t="s">
        <v>307</v>
      </c>
      <c r="D48" s="112" t="s">
        <v>62</v>
      </c>
      <c r="E48" s="112">
        <v>8765540772</v>
      </c>
    </row>
    <row r="49" spans="1:5" ht="16.5" customHeight="1">
      <c r="A49" s="53">
        <v>44</v>
      </c>
      <c r="B49" s="83">
        <v>2925</v>
      </c>
      <c r="C49" s="12" t="s">
        <v>200</v>
      </c>
      <c r="D49" s="53" t="s">
        <v>62</v>
      </c>
      <c r="E49" s="56">
        <v>7995794652</v>
      </c>
    </row>
    <row r="50" spans="1:5" ht="9.75" customHeight="1"/>
    <row r="51" spans="1:5" ht="16.5" customHeight="1">
      <c r="A51" s="53">
        <v>46</v>
      </c>
      <c r="B51" s="83">
        <v>30410</v>
      </c>
      <c r="C51" s="55" t="s">
        <v>304</v>
      </c>
      <c r="D51" s="53" t="s">
        <v>228</v>
      </c>
      <c r="E51" s="53">
        <v>7995622962</v>
      </c>
    </row>
    <row r="52" spans="1:5" ht="16.5" customHeight="1">
      <c r="A52" s="53">
        <v>47</v>
      </c>
      <c r="B52" s="83">
        <v>30744</v>
      </c>
      <c r="C52" s="55" t="s">
        <v>308</v>
      </c>
      <c r="D52" s="53" t="s">
        <v>309</v>
      </c>
      <c r="E52" s="53">
        <v>8790500801</v>
      </c>
    </row>
    <row r="53" spans="1:5" ht="10.5" customHeight="1">
      <c r="A53" s="53"/>
      <c r="B53" s="115"/>
      <c r="C53" s="97"/>
      <c r="D53" s="97"/>
      <c r="E53" s="116"/>
    </row>
    <row r="54" spans="1:5" ht="16.5" customHeight="1">
      <c r="A54" s="53">
        <v>1</v>
      </c>
      <c r="B54" s="83">
        <v>30683</v>
      </c>
      <c r="C54" s="55" t="s">
        <v>183</v>
      </c>
      <c r="D54" s="53" t="s">
        <v>62</v>
      </c>
      <c r="E54" s="56">
        <v>7075547599</v>
      </c>
    </row>
    <row r="55" spans="1:5" ht="16.5" customHeight="1">
      <c r="A55" s="53">
        <v>2</v>
      </c>
      <c r="B55" s="83">
        <v>30682</v>
      </c>
      <c r="C55" s="55" t="s">
        <v>186</v>
      </c>
      <c r="D55" s="53" t="s">
        <v>62</v>
      </c>
      <c r="E55" s="56">
        <v>9515188096</v>
      </c>
    </row>
    <row r="56" spans="1:5" ht="16.5" customHeight="1">
      <c r="A56" s="53">
        <v>3</v>
      </c>
      <c r="B56" s="83">
        <v>30685</v>
      </c>
      <c r="C56" s="55" t="s">
        <v>187</v>
      </c>
      <c r="D56" s="53" t="s">
        <v>62</v>
      </c>
      <c r="E56" s="56">
        <v>9182032471</v>
      </c>
    </row>
    <row r="57" spans="1:5" ht="20.100000000000001" customHeight="1">
      <c r="A57" s="84"/>
      <c r="E57" s="81"/>
    </row>
    <row r="58" spans="1:5" ht="20.100000000000001" customHeight="1">
      <c r="A58" s="85" t="s">
        <v>323</v>
      </c>
      <c r="B58" s="85"/>
      <c r="C58" s="85"/>
      <c r="D58" s="85"/>
      <c r="E58" s="65"/>
    </row>
    <row r="59" spans="1:5" ht="20.100000000000001" customHeight="1">
      <c r="A59" s="53">
        <v>1</v>
      </c>
      <c r="B59" s="71">
        <v>2646</v>
      </c>
      <c r="C59" s="70" t="s">
        <v>245</v>
      </c>
      <c r="D59" s="68" t="s">
        <v>267</v>
      </c>
      <c r="E59" s="83">
        <v>6300035358</v>
      </c>
    </row>
    <row r="60" spans="1:5" ht="20.100000000000001" customHeight="1">
      <c r="A60" s="53">
        <v>2</v>
      </c>
      <c r="B60" s="71">
        <v>2686</v>
      </c>
      <c r="C60" s="70" t="s">
        <v>268</v>
      </c>
      <c r="D60" s="68" t="s">
        <v>267</v>
      </c>
      <c r="E60" s="83">
        <v>8247346900</v>
      </c>
    </row>
    <row r="61" spans="1:5" ht="20.100000000000001" customHeight="1">
      <c r="A61" s="53">
        <v>3</v>
      </c>
      <c r="B61" s="71">
        <v>2614</v>
      </c>
      <c r="C61" s="70" t="s">
        <v>269</v>
      </c>
      <c r="D61" s="68" t="s">
        <v>147</v>
      </c>
      <c r="E61" s="83">
        <v>9581958972</v>
      </c>
    </row>
    <row r="62" spans="1:5" ht="20.100000000000001" customHeight="1">
      <c r="A62" s="53">
        <v>4</v>
      </c>
      <c r="B62" s="71">
        <v>2852</v>
      </c>
      <c r="C62" s="70" t="s">
        <v>205</v>
      </c>
      <c r="D62" s="68" t="s">
        <v>147</v>
      </c>
      <c r="E62" s="83">
        <v>7981683088</v>
      </c>
    </row>
    <row r="63" spans="1:5" ht="20.100000000000001" customHeight="1">
      <c r="A63" s="53">
        <v>5</v>
      </c>
      <c r="B63" s="71">
        <v>2862</v>
      </c>
      <c r="C63" s="70" t="s">
        <v>206</v>
      </c>
      <c r="D63" s="68" t="s">
        <v>147</v>
      </c>
      <c r="E63" s="83">
        <v>9966109473</v>
      </c>
    </row>
    <row r="64" spans="1:5" ht="20.100000000000001" customHeight="1">
      <c r="A64" s="53">
        <v>6</v>
      </c>
      <c r="B64" s="71">
        <v>2932</v>
      </c>
      <c r="C64" s="70" t="s">
        <v>207</v>
      </c>
      <c r="D64" s="68" t="s">
        <v>147</v>
      </c>
      <c r="E64" s="83">
        <v>7672052900</v>
      </c>
    </row>
    <row r="65" spans="1:5" ht="20.100000000000001" customHeight="1">
      <c r="A65" s="53">
        <v>7</v>
      </c>
      <c r="B65" s="71">
        <v>2935</v>
      </c>
      <c r="C65" s="70" t="s">
        <v>208</v>
      </c>
      <c r="D65" s="68" t="s">
        <v>147</v>
      </c>
      <c r="E65" s="83">
        <v>9948686959</v>
      </c>
    </row>
    <row r="66" spans="1:5" ht="20.100000000000001" customHeight="1">
      <c r="A66" s="53">
        <v>8</v>
      </c>
      <c r="B66" s="71">
        <v>2940</v>
      </c>
      <c r="C66" s="70" t="s">
        <v>209</v>
      </c>
      <c r="D66" s="68" t="s">
        <v>147</v>
      </c>
      <c r="E66" s="83">
        <v>7799595004</v>
      </c>
    </row>
    <row r="67" spans="1:5" ht="20.100000000000001" customHeight="1">
      <c r="A67" s="53">
        <v>9</v>
      </c>
      <c r="B67" s="71">
        <v>2952</v>
      </c>
      <c r="C67" s="73" t="s">
        <v>210</v>
      </c>
      <c r="D67" s="68" t="s">
        <v>147</v>
      </c>
      <c r="E67" s="83">
        <v>6302946907</v>
      </c>
    </row>
    <row r="68" spans="1:5" ht="20.100000000000001" customHeight="1">
      <c r="A68" s="87"/>
      <c r="B68" s="87"/>
      <c r="D68" s="87"/>
      <c r="E68" s="82"/>
    </row>
    <row r="69" spans="1:5" ht="20.100000000000001" customHeight="1">
      <c r="A69" s="529" t="s">
        <v>325</v>
      </c>
      <c r="B69" s="529"/>
      <c r="C69" s="529"/>
      <c r="D69" s="529"/>
      <c r="E69" s="529"/>
    </row>
    <row r="70" spans="1:5" ht="20.100000000000001" customHeight="1">
      <c r="A70" s="53">
        <v>1</v>
      </c>
      <c r="B70" s="53">
        <v>629</v>
      </c>
      <c r="C70" s="54" t="s">
        <v>248</v>
      </c>
      <c r="D70" s="53" t="s">
        <v>270</v>
      </c>
      <c r="E70" s="53">
        <v>9502200265</v>
      </c>
    </row>
    <row r="71" spans="1:5" ht="20.100000000000001" customHeight="1">
      <c r="A71" s="53">
        <v>2</v>
      </c>
      <c r="B71" s="53">
        <v>2538</v>
      </c>
      <c r="C71" s="55" t="s">
        <v>271</v>
      </c>
      <c r="D71" s="53" t="s">
        <v>270</v>
      </c>
      <c r="E71" s="53">
        <v>9848526387</v>
      </c>
    </row>
    <row r="72" spans="1:5" ht="20.100000000000001" customHeight="1">
      <c r="A72" s="53">
        <v>3</v>
      </c>
      <c r="B72" s="53">
        <v>2613</v>
      </c>
      <c r="C72" s="54" t="s">
        <v>272</v>
      </c>
      <c r="D72" s="56" t="s">
        <v>251</v>
      </c>
      <c r="E72" s="53">
        <v>9573912337</v>
      </c>
    </row>
    <row r="73" spans="1:5" ht="20.100000000000001" customHeight="1">
      <c r="A73" s="53">
        <v>4</v>
      </c>
      <c r="B73" s="53">
        <v>2700</v>
      </c>
      <c r="C73" s="54" t="s">
        <v>273</v>
      </c>
      <c r="D73" s="53" t="s">
        <v>251</v>
      </c>
      <c r="E73" s="53">
        <v>7416390127</v>
      </c>
    </row>
    <row r="74" spans="1:5" ht="20.100000000000001" customHeight="1">
      <c r="A74" s="53">
        <v>5</v>
      </c>
      <c r="B74" s="53">
        <v>2996</v>
      </c>
      <c r="C74" s="54" t="s">
        <v>346</v>
      </c>
      <c r="D74" s="53" t="s">
        <v>251</v>
      </c>
      <c r="E74" s="53">
        <v>8142888477</v>
      </c>
    </row>
    <row r="75" spans="1:5" ht="20.100000000000001" customHeight="1">
      <c r="E75" s="82"/>
    </row>
    <row r="76" spans="1:5" ht="20.100000000000001" customHeight="1">
      <c r="E76" s="82"/>
    </row>
    <row r="77" spans="1:5" ht="20.100000000000001" customHeight="1">
      <c r="C77" s="89" t="s">
        <v>340</v>
      </c>
      <c r="D77" s="89">
        <v>45</v>
      </c>
    </row>
    <row r="78" spans="1:5" ht="20.100000000000001" customHeight="1">
      <c r="C78" s="89" t="s">
        <v>341</v>
      </c>
      <c r="D78" s="89">
        <v>2</v>
      </c>
    </row>
    <row r="79" spans="1:5" ht="20.100000000000001" customHeight="1">
      <c r="C79" s="89" t="s">
        <v>234</v>
      </c>
      <c r="D79" s="89">
        <v>3</v>
      </c>
    </row>
    <row r="80" spans="1:5" ht="20.100000000000001" customHeight="1">
      <c r="C80" s="89" t="s">
        <v>343</v>
      </c>
      <c r="D80" s="89">
        <v>9</v>
      </c>
    </row>
    <row r="81" spans="3:4" ht="20.100000000000001" customHeight="1">
      <c r="C81" s="89" t="s">
        <v>347</v>
      </c>
      <c r="D81" s="89">
        <v>5</v>
      </c>
    </row>
    <row r="82" spans="3:4" ht="20.100000000000001" customHeight="1">
      <c r="C82" s="89"/>
      <c r="D82" s="89">
        <f>SUM(D77:D81)</f>
        <v>64</v>
      </c>
    </row>
  </sheetData>
  <mergeCells count="9">
    <mergeCell ref="A1:E1"/>
    <mergeCell ref="A2:E2"/>
    <mergeCell ref="A3:E3"/>
    <mergeCell ref="A69:E69"/>
    <mergeCell ref="A4:A5"/>
    <mergeCell ref="B4:B5"/>
    <mergeCell ref="C4:C5"/>
    <mergeCell ref="D4:D5"/>
    <mergeCell ref="E4:E5"/>
  </mergeCells>
  <conditionalFormatting sqref="B21:B22">
    <cfRule type="duplicateValues" dxfId="31" priority="2"/>
  </conditionalFormatting>
  <conditionalFormatting sqref="B24:B25">
    <cfRule type="duplicateValues" dxfId="30" priority="1"/>
  </conditionalFormatting>
  <pageMargins left="0.39370078740157499" right="0.39370078740157499" top="0.39370078740157499" bottom="0.39370078740157499" header="0.31496062992126" footer="0.31496062992126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3"/>
  <sheetViews>
    <sheetView topLeftCell="A70" workbookViewId="0">
      <selection activeCell="J80" sqref="J80"/>
    </sheetView>
  </sheetViews>
  <sheetFormatPr defaultColWidth="9" defaultRowHeight="14.4"/>
  <cols>
    <col min="3" max="3" width="33" customWidth="1"/>
    <col min="4" max="4" width="32" customWidth="1"/>
    <col min="5" max="5" width="14.33203125" customWidth="1"/>
    <col min="6" max="6" width="10.44140625" bestFit="1" customWidth="1"/>
    <col min="7" max="7" width="10.44140625" customWidth="1"/>
  </cols>
  <sheetData>
    <row r="1" spans="1:5" ht="20.100000000000001" customHeight="1">
      <c r="A1" s="514" t="s">
        <v>47</v>
      </c>
      <c r="B1" s="514"/>
      <c r="C1" s="514"/>
      <c r="D1" s="514"/>
      <c r="E1" s="514"/>
    </row>
    <row r="2" spans="1:5" ht="20.100000000000001" customHeight="1">
      <c r="A2" s="514" t="s">
        <v>274</v>
      </c>
      <c r="B2" s="514"/>
      <c r="C2" s="514"/>
      <c r="D2" s="514"/>
      <c r="E2" s="514"/>
    </row>
    <row r="3" spans="1:5" ht="20.100000000000001" customHeight="1">
      <c r="A3" s="518" t="s">
        <v>345</v>
      </c>
      <c r="B3" s="518"/>
      <c r="C3" s="518"/>
      <c r="D3" s="518"/>
      <c r="E3" s="518"/>
    </row>
    <row r="4" spans="1:5" ht="20.100000000000001" customHeight="1">
      <c r="A4" s="544" t="s">
        <v>1</v>
      </c>
      <c r="B4" s="544" t="s">
        <v>216</v>
      </c>
      <c r="C4" s="544" t="s">
        <v>3</v>
      </c>
      <c r="D4" s="544" t="s">
        <v>4</v>
      </c>
      <c r="E4" s="544" t="s">
        <v>8</v>
      </c>
    </row>
    <row r="5" spans="1:5" ht="20.100000000000001" customHeight="1">
      <c r="A5" s="544"/>
      <c r="B5" s="544"/>
      <c r="C5" s="544"/>
      <c r="D5" s="544"/>
      <c r="E5" s="544"/>
    </row>
    <row r="6" spans="1:5" ht="20.100000000000001" customHeight="1">
      <c r="A6" s="53">
        <v>1</v>
      </c>
      <c r="B6" s="53">
        <v>1251</v>
      </c>
      <c r="C6" s="67" t="s">
        <v>9</v>
      </c>
      <c r="D6" s="68" t="s">
        <v>257</v>
      </c>
      <c r="E6" s="68">
        <v>9840850744</v>
      </c>
    </row>
    <row r="7" spans="1:5" ht="20.100000000000001" customHeight="1">
      <c r="A7" s="53">
        <v>2</v>
      </c>
      <c r="B7" s="53">
        <v>308</v>
      </c>
      <c r="C7" s="67" t="s">
        <v>299</v>
      </c>
      <c r="D7" s="68" t="s">
        <v>19</v>
      </c>
      <c r="E7" s="68">
        <v>9908823834</v>
      </c>
    </row>
    <row r="8" spans="1:5" ht="20.100000000000001" customHeight="1">
      <c r="A8" s="53">
        <v>3</v>
      </c>
      <c r="B8" s="53">
        <v>1182</v>
      </c>
      <c r="C8" s="70" t="s">
        <v>26</v>
      </c>
      <c r="D8" s="71" t="s">
        <v>258</v>
      </c>
      <c r="E8" s="68">
        <v>9676354404</v>
      </c>
    </row>
    <row r="9" spans="1:5" ht="20.100000000000001" customHeight="1">
      <c r="A9" s="53">
        <v>4</v>
      </c>
      <c r="B9" s="53">
        <v>2511</v>
      </c>
      <c r="C9" s="55" t="s">
        <v>109</v>
      </c>
      <c r="D9" s="71" t="s">
        <v>180</v>
      </c>
      <c r="E9" s="53">
        <v>6379772780</v>
      </c>
    </row>
    <row r="10" spans="1:5" ht="23.25" customHeight="1">
      <c r="A10" s="53">
        <v>5</v>
      </c>
      <c r="B10" s="53">
        <v>312</v>
      </c>
      <c r="C10" s="67" t="s">
        <v>42</v>
      </c>
      <c r="D10" s="72" t="s">
        <v>317</v>
      </c>
      <c r="E10" s="68">
        <v>8297208489</v>
      </c>
    </row>
    <row r="11" spans="1:5" ht="20.100000000000001" customHeight="1">
      <c r="A11" s="53">
        <v>6</v>
      </c>
      <c r="B11" s="53">
        <v>2090</v>
      </c>
      <c r="C11" s="54" t="s">
        <v>33</v>
      </c>
      <c r="D11" s="71" t="s">
        <v>180</v>
      </c>
      <c r="E11" s="68">
        <v>9441540580</v>
      </c>
    </row>
    <row r="12" spans="1:5" ht="20.100000000000001" customHeight="1">
      <c r="A12" s="53">
        <v>7</v>
      </c>
      <c r="B12" s="53">
        <v>523</v>
      </c>
      <c r="C12" s="12" t="s">
        <v>348</v>
      </c>
      <c r="D12" s="71" t="s">
        <v>180</v>
      </c>
      <c r="E12" s="5">
        <v>9441536410</v>
      </c>
    </row>
    <row r="13" spans="1:5" ht="20.100000000000001" customHeight="1">
      <c r="A13" s="53">
        <v>8</v>
      </c>
      <c r="B13" s="53">
        <v>2827</v>
      </c>
      <c r="C13" s="55" t="s">
        <v>279</v>
      </c>
      <c r="D13" s="71" t="s">
        <v>180</v>
      </c>
      <c r="E13" s="68">
        <v>8085575111</v>
      </c>
    </row>
    <row r="14" spans="1:5" ht="20.100000000000001" customHeight="1">
      <c r="A14" s="53">
        <v>9</v>
      </c>
      <c r="B14" s="53">
        <v>2490</v>
      </c>
      <c r="C14" s="55" t="s">
        <v>83</v>
      </c>
      <c r="D14" s="68" t="s">
        <v>157</v>
      </c>
      <c r="E14" s="53">
        <v>9848129660</v>
      </c>
    </row>
    <row r="15" spans="1:5" ht="20.100000000000001" customHeight="1">
      <c r="A15" s="53">
        <v>10</v>
      </c>
      <c r="B15" s="53">
        <v>2493</v>
      </c>
      <c r="C15" s="55" t="s">
        <v>220</v>
      </c>
      <c r="D15" s="68" t="s">
        <v>157</v>
      </c>
      <c r="E15" s="53">
        <v>8940506036</v>
      </c>
    </row>
    <row r="16" spans="1:5" ht="20.100000000000001" customHeight="1">
      <c r="A16" s="53">
        <v>11</v>
      </c>
      <c r="B16" s="53">
        <v>2499</v>
      </c>
      <c r="C16" s="73" t="s">
        <v>221</v>
      </c>
      <c r="D16" s="68" t="s">
        <v>157</v>
      </c>
      <c r="E16" s="53">
        <v>9994476533</v>
      </c>
    </row>
    <row r="17" spans="1:7" ht="20.100000000000001" customHeight="1">
      <c r="A17" s="53">
        <v>12</v>
      </c>
      <c r="B17" s="53">
        <v>2501</v>
      </c>
      <c r="C17" s="55" t="s">
        <v>101</v>
      </c>
      <c r="D17" s="68" t="s">
        <v>157</v>
      </c>
      <c r="E17" s="53">
        <v>9848052474</v>
      </c>
    </row>
    <row r="18" spans="1:7" ht="20.100000000000001" customHeight="1">
      <c r="A18" s="53">
        <v>13</v>
      </c>
      <c r="B18" s="53">
        <v>2541</v>
      </c>
      <c r="C18" s="54" t="s">
        <v>127</v>
      </c>
      <c r="D18" s="68" t="s">
        <v>157</v>
      </c>
      <c r="E18" s="53">
        <v>7981738522</v>
      </c>
    </row>
    <row r="19" spans="1:7" ht="20.100000000000001" customHeight="1">
      <c r="A19" s="53">
        <v>14</v>
      </c>
      <c r="B19" s="53">
        <v>2947</v>
      </c>
      <c r="C19" s="69" t="s">
        <v>204</v>
      </c>
      <c r="D19" s="68" t="s">
        <v>157</v>
      </c>
      <c r="E19" s="53">
        <v>9032045840</v>
      </c>
    </row>
    <row r="20" spans="1:7" ht="20.100000000000001" customHeight="1">
      <c r="A20" s="53">
        <v>15</v>
      </c>
      <c r="B20" s="53">
        <v>540</v>
      </c>
      <c r="C20" s="67" t="s">
        <v>49</v>
      </c>
      <c r="D20" s="71" t="s">
        <v>68</v>
      </c>
      <c r="E20" s="68">
        <v>9550367172</v>
      </c>
    </row>
    <row r="21" spans="1:7" ht="20.100000000000001" customHeight="1">
      <c r="A21" s="53">
        <v>16</v>
      </c>
      <c r="B21" s="53">
        <v>1181</v>
      </c>
      <c r="C21" s="70" t="s">
        <v>55</v>
      </c>
      <c r="D21" s="71" t="s">
        <v>68</v>
      </c>
      <c r="E21" s="68">
        <v>9493670612</v>
      </c>
    </row>
    <row r="22" spans="1:7" ht="20.100000000000001" customHeight="1">
      <c r="A22" s="53">
        <v>17</v>
      </c>
      <c r="B22" s="53">
        <v>1243</v>
      </c>
      <c r="C22" s="70" t="s">
        <v>58</v>
      </c>
      <c r="D22" s="71" t="s">
        <v>68</v>
      </c>
      <c r="E22" s="68">
        <v>8790166779</v>
      </c>
    </row>
    <row r="23" spans="1:7" ht="20.100000000000001" customHeight="1">
      <c r="A23" s="53">
        <v>18</v>
      </c>
      <c r="B23" s="53">
        <v>2432</v>
      </c>
      <c r="C23" s="54" t="s">
        <v>280</v>
      </c>
      <c r="D23" s="71" t="s">
        <v>68</v>
      </c>
      <c r="E23" s="53">
        <v>7093243607</v>
      </c>
    </row>
    <row r="24" spans="1:7" ht="20.100000000000001" customHeight="1">
      <c r="A24" s="53">
        <v>19</v>
      </c>
      <c r="B24" s="75" t="s">
        <v>66</v>
      </c>
      <c r="C24" s="70" t="s">
        <v>67</v>
      </c>
      <c r="D24" s="71" t="s">
        <v>68</v>
      </c>
      <c r="E24" s="53">
        <v>9614547390</v>
      </c>
    </row>
    <row r="25" spans="1:7" ht="20.100000000000001" customHeight="1">
      <c r="A25" s="53">
        <v>20</v>
      </c>
      <c r="B25" s="53">
        <v>2454</v>
      </c>
      <c r="C25" s="54" t="s">
        <v>318</v>
      </c>
      <c r="D25" s="71" t="s">
        <v>68</v>
      </c>
      <c r="E25" s="53">
        <v>7729990303</v>
      </c>
    </row>
    <row r="26" spans="1:7" ht="20.100000000000001" customHeight="1">
      <c r="A26" s="53">
        <v>21</v>
      </c>
      <c r="B26" s="53">
        <v>2502</v>
      </c>
      <c r="C26" s="55" t="s">
        <v>107</v>
      </c>
      <c r="D26" s="71" t="s">
        <v>68</v>
      </c>
      <c r="E26" s="53">
        <v>9600605782</v>
      </c>
    </row>
    <row r="27" spans="1:7" ht="20.100000000000001" customHeight="1">
      <c r="A27" s="53">
        <v>22</v>
      </c>
      <c r="B27" s="53">
        <v>2514</v>
      </c>
      <c r="C27" s="55" t="s">
        <v>113</v>
      </c>
      <c r="D27" s="71" t="s">
        <v>68</v>
      </c>
      <c r="E27" s="53">
        <v>9500312191</v>
      </c>
    </row>
    <row r="28" spans="1:7" ht="20.100000000000001" customHeight="1">
      <c r="A28" s="53">
        <v>23</v>
      </c>
      <c r="B28" s="53">
        <v>2519</v>
      </c>
      <c r="C28" s="55" t="s">
        <v>120</v>
      </c>
      <c r="D28" s="71" t="s">
        <v>68</v>
      </c>
      <c r="E28" s="71">
        <v>8978116834</v>
      </c>
    </row>
    <row r="29" spans="1:7" ht="20.100000000000001" customHeight="1">
      <c r="A29" s="53">
        <v>24</v>
      </c>
      <c r="B29" s="71">
        <v>2637</v>
      </c>
      <c r="C29" s="70" t="s">
        <v>261</v>
      </c>
      <c r="D29" s="71" t="s">
        <v>68</v>
      </c>
      <c r="E29" s="53">
        <v>9706631085</v>
      </c>
    </row>
    <row r="30" spans="1:7" ht="20.100000000000001" customHeight="1">
      <c r="A30" s="53">
        <v>25</v>
      </c>
      <c r="B30" s="71">
        <v>2689</v>
      </c>
      <c r="C30" s="70" t="s">
        <v>154</v>
      </c>
      <c r="D30" s="71" t="s">
        <v>68</v>
      </c>
      <c r="E30" s="56">
        <v>7006157037</v>
      </c>
    </row>
    <row r="31" spans="1:7" ht="20.100000000000001" customHeight="1">
      <c r="A31" s="53">
        <v>26</v>
      </c>
      <c r="B31" s="53">
        <v>2693</v>
      </c>
      <c r="C31" s="110" t="s">
        <v>300</v>
      </c>
      <c r="D31" s="111" t="s">
        <v>68</v>
      </c>
      <c r="E31" s="79">
        <v>9094802494</v>
      </c>
      <c r="G31" s="63">
        <v>45762</v>
      </c>
    </row>
    <row r="32" spans="1:7" ht="20.100000000000001" customHeight="1">
      <c r="A32" s="53">
        <v>27</v>
      </c>
      <c r="B32" s="53">
        <v>2728</v>
      </c>
      <c r="C32" s="55" t="s">
        <v>163</v>
      </c>
      <c r="D32" s="71" t="s">
        <v>68</v>
      </c>
      <c r="E32" s="53">
        <v>7981960066</v>
      </c>
    </row>
    <row r="33" spans="1:7" ht="20.100000000000001" customHeight="1">
      <c r="A33" s="53">
        <v>28</v>
      </c>
      <c r="B33" s="53">
        <v>2765</v>
      </c>
      <c r="C33" s="54" t="s">
        <v>168</v>
      </c>
      <c r="D33" s="71" t="s">
        <v>68</v>
      </c>
      <c r="E33" s="53">
        <v>9788682940</v>
      </c>
    </row>
    <row r="34" spans="1:7" ht="20.100000000000001" customHeight="1">
      <c r="A34" s="53">
        <v>29</v>
      </c>
      <c r="B34" s="53">
        <v>2812</v>
      </c>
      <c r="C34" s="77" t="s">
        <v>301</v>
      </c>
      <c r="D34" s="71" t="s">
        <v>68</v>
      </c>
      <c r="E34" s="53">
        <v>7731063177</v>
      </c>
    </row>
    <row r="35" spans="1:7" ht="20.100000000000001" customHeight="1">
      <c r="A35" s="53">
        <v>30</v>
      </c>
      <c r="B35" s="53">
        <v>2814</v>
      </c>
      <c r="C35" s="77" t="s">
        <v>327</v>
      </c>
      <c r="D35" s="71" t="s">
        <v>68</v>
      </c>
      <c r="E35" s="53">
        <v>8056033643</v>
      </c>
    </row>
    <row r="36" spans="1:7" ht="20.100000000000001" customHeight="1">
      <c r="A36" s="53">
        <v>31</v>
      </c>
      <c r="B36" s="53">
        <v>2512</v>
      </c>
      <c r="C36" s="54" t="s">
        <v>189</v>
      </c>
      <c r="D36" s="71" t="s">
        <v>68</v>
      </c>
      <c r="E36" s="53">
        <v>9292709507</v>
      </c>
    </row>
    <row r="37" spans="1:7" ht="20.100000000000001" customHeight="1">
      <c r="A37" s="53">
        <v>32</v>
      </c>
      <c r="B37" s="53">
        <v>2898</v>
      </c>
      <c r="C37" s="73" t="s">
        <v>190</v>
      </c>
      <c r="D37" s="71" t="s">
        <v>68</v>
      </c>
      <c r="E37" s="53">
        <v>9989895732</v>
      </c>
    </row>
    <row r="38" spans="1:7" ht="20.100000000000001" customHeight="1">
      <c r="A38" s="53">
        <v>33</v>
      </c>
      <c r="B38" s="53">
        <v>2921</v>
      </c>
      <c r="C38" s="73" t="s">
        <v>191</v>
      </c>
      <c r="D38" s="71" t="s">
        <v>192</v>
      </c>
      <c r="E38" s="56">
        <v>9014766760</v>
      </c>
    </row>
    <row r="39" spans="1:7" ht="20.100000000000001" customHeight="1">
      <c r="A39" s="53">
        <v>34</v>
      </c>
      <c r="B39" s="53">
        <v>2934</v>
      </c>
      <c r="C39" s="73" t="s">
        <v>193</v>
      </c>
      <c r="D39" s="71" t="s">
        <v>68</v>
      </c>
      <c r="E39" s="56">
        <v>9440664462</v>
      </c>
    </row>
    <row r="40" spans="1:7" ht="20.100000000000001" customHeight="1">
      <c r="A40" s="53">
        <v>35</v>
      </c>
      <c r="B40" s="53">
        <v>2965</v>
      </c>
      <c r="C40" s="12" t="s">
        <v>194</v>
      </c>
      <c r="D40" s="53" t="s">
        <v>68</v>
      </c>
      <c r="E40" s="56">
        <v>9642674547</v>
      </c>
    </row>
    <row r="41" spans="1:7" ht="20.100000000000001" customHeight="1">
      <c r="A41" s="53">
        <v>36</v>
      </c>
      <c r="B41" s="53">
        <v>2977</v>
      </c>
      <c r="C41" s="12" t="s">
        <v>195</v>
      </c>
      <c r="D41" s="53" t="s">
        <v>68</v>
      </c>
      <c r="E41" s="56">
        <v>9039466727</v>
      </c>
    </row>
    <row r="42" spans="1:7" ht="20.100000000000001" customHeight="1">
      <c r="A42" s="53">
        <v>37</v>
      </c>
      <c r="B42" s="53">
        <v>2984</v>
      </c>
      <c r="C42" s="78" t="s">
        <v>196</v>
      </c>
      <c r="D42" s="79" t="s">
        <v>68</v>
      </c>
      <c r="E42" s="80">
        <v>9652992125</v>
      </c>
      <c r="G42" s="63">
        <v>45777</v>
      </c>
    </row>
    <row r="43" spans="1:7" ht="20.100000000000001" customHeight="1">
      <c r="A43" s="53">
        <v>38</v>
      </c>
      <c r="B43" s="53">
        <v>2936</v>
      </c>
      <c r="C43" s="73" t="s">
        <v>197</v>
      </c>
      <c r="D43" s="71" t="s">
        <v>198</v>
      </c>
      <c r="E43" s="56">
        <v>8125544167</v>
      </c>
    </row>
    <row r="44" spans="1:7" ht="20.100000000000001" customHeight="1">
      <c r="A44" s="53">
        <v>39</v>
      </c>
      <c r="B44" s="53">
        <v>2950</v>
      </c>
      <c r="C44" s="69" t="s">
        <v>199</v>
      </c>
      <c r="D44" s="71" t="s">
        <v>198</v>
      </c>
      <c r="E44" s="53">
        <v>9000024070</v>
      </c>
    </row>
    <row r="45" spans="1:7" ht="20.100000000000001" customHeight="1">
      <c r="A45" s="53">
        <v>40</v>
      </c>
      <c r="B45" s="53">
        <v>633</v>
      </c>
      <c r="C45" s="54" t="s">
        <v>305</v>
      </c>
      <c r="D45" s="53" t="s">
        <v>320</v>
      </c>
      <c r="E45" s="53">
        <v>9494678628</v>
      </c>
    </row>
    <row r="46" spans="1:7" ht="20.100000000000001" customHeight="1">
      <c r="A46" s="53">
        <v>41</v>
      </c>
      <c r="B46" s="53">
        <v>2285</v>
      </c>
      <c r="C46" s="54" t="s">
        <v>306</v>
      </c>
      <c r="D46" s="53" t="s">
        <v>321</v>
      </c>
      <c r="E46" s="53">
        <v>9640066261</v>
      </c>
    </row>
    <row r="47" spans="1:7" ht="20.100000000000001" customHeight="1">
      <c r="A47" s="53">
        <v>42</v>
      </c>
      <c r="B47" s="53">
        <v>2826</v>
      </c>
      <c r="C47" s="55" t="s">
        <v>178</v>
      </c>
      <c r="D47" s="53" t="s">
        <v>62</v>
      </c>
      <c r="E47" s="53">
        <v>9542588470</v>
      </c>
    </row>
    <row r="48" spans="1:7" ht="20.100000000000001" customHeight="1">
      <c r="A48" s="112">
        <v>43</v>
      </c>
      <c r="B48" s="113">
        <v>2899</v>
      </c>
      <c r="C48" s="114" t="s">
        <v>307</v>
      </c>
      <c r="D48" s="112" t="s">
        <v>62</v>
      </c>
      <c r="E48" s="112">
        <v>8765540772</v>
      </c>
      <c r="G48" s="63">
        <v>45757</v>
      </c>
    </row>
    <row r="49" spans="1:7" ht="20.100000000000001" customHeight="1">
      <c r="A49" s="53">
        <v>43</v>
      </c>
      <c r="B49" s="53">
        <v>2925</v>
      </c>
      <c r="C49" s="12" t="s">
        <v>200</v>
      </c>
      <c r="D49" s="53" t="s">
        <v>62</v>
      </c>
      <c r="E49" s="56">
        <v>7995794652</v>
      </c>
    </row>
    <row r="50" spans="1:7" ht="20.100000000000001" customHeight="1">
      <c r="A50" s="53">
        <v>44</v>
      </c>
      <c r="B50" s="53">
        <v>3038</v>
      </c>
      <c r="C50" s="69" t="s">
        <v>201</v>
      </c>
      <c r="D50" s="53" t="s">
        <v>68</v>
      </c>
      <c r="E50" s="56">
        <v>8330983764</v>
      </c>
    </row>
    <row r="51" spans="1:7" ht="20.100000000000001" customHeight="1">
      <c r="A51" s="81"/>
      <c r="B51" s="81"/>
      <c r="C51" s="25"/>
      <c r="D51" s="81"/>
      <c r="E51" s="82"/>
    </row>
    <row r="52" spans="1:7" ht="20.100000000000001" customHeight="1"/>
    <row r="53" spans="1:7" ht="20.100000000000001" customHeight="1">
      <c r="A53" s="53">
        <v>44</v>
      </c>
      <c r="B53" s="83">
        <v>30410</v>
      </c>
      <c r="C53" s="55" t="s">
        <v>304</v>
      </c>
      <c r="D53" s="53" t="s">
        <v>228</v>
      </c>
      <c r="E53" s="53">
        <v>7995622962</v>
      </c>
    </row>
    <row r="54" spans="1:7" ht="20.100000000000001" customHeight="1">
      <c r="A54" s="53">
        <v>45</v>
      </c>
      <c r="B54" s="83">
        <v>30744</v>
      </c>
      <c r="C54" s="55" t="s">
        <v>308</v>
      </c>
      <c r="D54" s="53" t="s">
        <v>309</v>
      </c>
      <c r="E54" s="53">
        <v>8790500801</v>
      </c>
    </row>
    <row r="55" spans="1:7" ht="20.100000000000001" customHeight="1">
      <c r="A55" s="53"/>
      <c r="B55" s="115"/>
      <c r="C55" s="97"/>
      <c r="D55" s="97"/>
      <c r="E55" s="116"/>
    </row>
    <row r="56" spans="1:7" ht="20.100000000000001" customHeight="1">
      <c r="A56" s="53">
        <v>1</v>
      </c>
      <c r="B56" s="83">
        <v>30683</v>
      </c>
      <c r="C56" s="55" t="s">
        <v>183</v>
      </c>
      <c r="D56" s="53" t="s">
        <v>62</v>
      </c>
      <c r="E56" s="56">
        <v>7075547599</v>
      </c>
      <c r="G56" s="63">
        <v>45766</v>
      </c>
    </row>
    <row r="57" spans="1:7" ht="20.100000000000001" customHeight="1">
      <c r="A57" s="53">
        <v>2</v>
      </c>
      <c r="B57" s="83">
        <v>30682</v>
      </c>
      <c r="C57" s="55" t="s">
        <v>186</v>
      </c>
      <c r="D57" s="53" t="s">
        <v>62</v>
      </c>
      <c r="E57" s="56">
        <v>9515188096</v>
      </c>
    </row>
    <row r="58" spans="1:7" ht="20.100000000000001" customHeight="1">
      <c r="A58" s="53">
        <v>3</v>
      </c>
      <c r="B58" s="83">
        <v>30685</v>
      </c>
      <c r="C58" s="55" t="s">
        <v>187</v>
      </c>
      <c r="D58" s="53" t="s">
        <v>62</v>
      </c>
      <c r="E58" s="56">
        <v>9182032471</v>
      </c>
    </row>
    <row r="59" spans="1:7" ht="20.100000000000001" customHeight="1">
      <c r="A59" s="84"/>
      <c r="E59" s="81"/>
    </row>
    <row r="60" spans="1:7" ht="20.100000000000001" customHeight="1">
      <c r="A60" s="85" t="s">
        <v>323</v>
      </c>
      <c r="B60" s="85"/>
      <c r="C60" s="85"/>
      <c r="D60" s="85"/>
      <c r="E60" s="65"/>
    </row>
    <row r="61" spans="1:7" ht="20.100000000000001" customHeight="1">
      <c r="A61" s="53">
        <v>1</v>
      </c>
      <c r="B61" s="71">
        <v>2646</v>
      </c>
      <c r="C61" s="70" t="s">
        <v>245</v>
      </c>
      <c r="D61" s="68" t="s">
        <v>267</v>
      </c>
      <c r="E61" s="53">
        <v>6300035358</v>
      </c>
    </row>
    <row r="62" spans="1:7" ht="20.100000000000001" customHeight="1">
      <c r="A62" s="53">
        <v>2</v>
      </c>
      <c r="B62" s="71">
        <v>2686</v>
      </c>
      <c r="C62" s="70" t="s">
        <v>268</v>
      </c>
      <c r="D62" s="68" t="s">
        <v>267</v>
      </c>
      <c r="E62" s="53">
        <v>8247346900</v>
      </c>
    </row>
    <row r="63" spans="1:7" ht="20.100000000000001" customHeight="1">
      <c r="A63" s="53">
        <v>3</v>
      </c>
      <c r="B63" s="71">
        <v>2614</v>
      </c>
      <c r="C63" s="70" t="s">
        <v>269</v>
      </c>
      <c r="D63" s="68" t="s">
        <v>147</v>
      </c>
      <c r="E63" s="53">
        <v>9581958972</v>
      </c>
    </row>
    <row r="64" spans="1:7" ht="20.100000000000001" customHeight="1">
      <c r="A64" s="53">
        <v>4</v>
      </c>
      <c r="B64" s="71">
        <v>2852</v>
      </c>
      <c r="C64" s="70" t="s">
        <v>205</v>
      </c>
      <c r="D64" s="68" t="s">
        <v>147</v>
      </c>
      <c r="E64" s="53">
        <v>7981683088</v>
      </c>
    </row>
    <row r="65" spans="1:6" ht="20.100000000000001" customHeight="1">
      <c r="A65" s="53">
        <v>5</v>
      </c>
      <c r="B65" s="71">
        <v>2862</v>
      </c>
      <c r="C65" s="70" t="s">
        <v>206</v>
      </c>
      <c r="D65" s="68" t="s">
        <v>147</v>
      </c>
      <c r="E65" s="53">
        <v>9966109473</v>
      </c>
    </row>
    <row r="66" spans="1:6" ht="20.100000000000001" customHeight="1">
      <c r="A66" s="53">
        <v>6</v>
      </c>
      <c r="B66" s="71">
        <v>2932</v>
      </c>
      <c r="C66" s="70" t="s">
        <v>207</v>
      </c>
      <c r="D66" s="68" t="s">
        <v>147</v>
      </c>
      <c r="E66" s="53">
        <v>7672052900</v>
      </c>
    </row>
    <row r="67" spans="1:6" ht="20.100000000000001" customHeight="1">
      <c r="A67" s="53">
        <v>7</v>
      </c>
      <c r="B67" s="71">
        <v>2935</v>
      </c>
      <c r="C67" s="70" t="s">
        <v>208</v>
      </c>
      <c r="D67" s="68" t="s">
        <v>147</v>
      </c>
      <c r="E67" s="53">
        <v>9948686959</v>
      </c>
    </row>
    <row r="68" spans="1:6" ht="20.100000000000001" customHeight="1">
      <c r="A68" s="53">
        <v>8</v>
      </c>
      <c r="B68" s="71">
        <v>2940</v>
      </c>
      <c r="C68" s="70" t="s">
        <v>209</v>
      </c>
      <c r="D68" s="68" t="s">
        <v>147</v>
      </c>
      <c r="E68" s="53">
        <v>7799595004</v>
      </c>
    </row>
    <row r="69" spans="1:6" ht="20.100000000000001" customHeight="1">
      <c r="A69" s="53">
        <v>9</v>
      </c>
      <c r="B69" s="71">
        <v>2952</v>
      </c>
      <c r="C69" s="73" t="s">
        <v>210</v>
      </c>
      <c r="D69" s="68" t="s">
        <v>147</v>
      </c>
      <c r="E69" s="53">
        <v>6302946907</v>
      </c>
    </row>
    <row r="70" spans="1:6" ht="20.100000000000001" customHeight="1">
      <c r="A70" s="53">
        <v>10</v>
      </c>
      <c r="B70" s="71">
        <v>3023</v>
      </c>
      <c r="C70" s="73" t="s">
        <v>211</v>
      </c>
      <c r="D70" s="68" t="s">
        <v>147</v>
      </c>
      <c r="E70" s="53"/>
    </row>
    <row r="71" spans="1:6" ht="20.100000000000001" customHeight="1">
      <c r="A71" s="53">
        <v>11</v>
      </c>
      <c r="B71" s="53">
        <v>3032</v>
      </c>
      <c r="C71" s="12" t="s">
        <v>212</v>
      </c>
      <c r="D71" s="68" t="s">
        <v>147</v>
      </c>
      <c r="E71" s="73">
        <v>8341287184</v>
      </c>
      <c r="F71" s="63">
        <v>45731</v>
      </c>
    </row>
    <row r="72" spans="1:6" ht="20.100000000000001" customHeight="1">
      <c r="A72" s="53">
        <v>12</v>
      </c>
      <c r="B72" s="53">
        <v>3033</v>
      </c>
      <c r="C72" s="12" t="s">
        <v>213</v>
      </c>
      <c r="D72" s="68" t="s">
        <v>147</v>
      </c>
      <c r="E72" s="73">
        <v>9569464941</v>
      </c>
      <c r="F72" s="63">
        <v>45733</v>
      </c>
    </row>
    <row r="73" spans="1:6" ht="20.100000000000001" customHeight="1"/>
    <row r="74" spans="1:6" ht="20.100000000000001" customHeight="1">
      <c r="A74" s="81"/>
      <c r="B74" s="86"/>
      <c r="C74" s="87"/>
      <c r="D74" s="88"/>
      <c r="E74" s="81"/>
    </row>
    <row r="75" spans="1:6" ht="20.100000000000001" customHeight="1">
      <c r="A75" s="87"/>
      <c r="B75" s="87"/>
      <c r="D75" s="87"/>
      <c r="E75" s="82"/>
    </row>
    <row r="76" spans="1:6" ht="20.100000000000001" customHeight="1">
      <c r="A76" s="529" t="s">
        <v>325</v>
      </c>
      <c r="B76" s="529"/>
      <c r="C76" s="529"/>
      <c r="D76" s="529"/>
      <c r="E76" s="529"/>
    </row>
    <row r="77" spans="1:6" ht="20.100000000000001" customHeight="1">
      <c r="A77" s="53">
        <v>1</v>
      </c>
      <c r="B77" s="53">
        <v>629</v>
      </c>
      <c r="C77" s="54" t="s">
        <v>248</v>
      </c>
      <c r="D77" s="53" t="s">
        <v>270</v>
      </c>
      <c r="E77" s="53">
        <v>9502200265</v>
      </c>
    </row>
    <row r="78" spans="1:6" ht="20.100000000000001" customHeight="1">
      <c r="A78" s="53">
        <v>2</v>
      </c>
      <c r="B78" s="53">
        <v>2538</v>
      </c>
      <c r="C78" s="55" t="s">
        <v>271</v>
      </c>
      <c r="D78" s="53" t="s">
        <v>270</v>
      </c>
      <c r="E78" s="53">
        <v>9848526387</v>
      </c>
    </row>
    <row r="79" spans="1:6" ht="20.100000000000001" customHeight="1">
      <c r="A79" s="53">
        <v>3</v>
      </c>
      <c r="B79" s="53">
        <v>2613</v>
      </c>
      <c r="C79" s="54" t="s">
        <v>272</v>
      </c>
      <c r="D79" s="56" t="s">
        <v>251</v>
      </c>
      <c r="E79" s="53">
        <v>9573912337</v>
      </c>
    </row>
    <row r="80" spans="1:6" ht="20.100000000000001" customHeight="1">
      <c r="A80" s="53">
        <v>4</v>
      </c>
      <c r="B80" s="53">
        <v>2700</v>
      </c>
      <c r="C80" s="54" t="s">
        <v>273</v>
      </c>
      <c r="D80" s="53" t="s">
        <v>251</v>
      </c>
      <c r="E80" s="53">
        <v>7416390127</v>
      </c>
    </row>
    <row r="81" spans="1:6" ht="20.100000000000001" customHeight="1">
      <c r="A81" s="53">
        <v>5</v>
      </c>
      <c r="B81" s="53">
        <v>2996</v>
      </c>
      <c r="C81" s="54" t="s">
        <v>346</v>
      </c>
      <c r="D81" s="53" t="s">
        <v>251</v>
      </c>
      <c r="E81" s="53">
        <v>8142888477</v>
      </c>
    </row>
    <row r="82" spans="1:6" ht="20.100000000000001" customHeight="1"/>
    <row r="83" spans="1:6" ht="20.100000000000001" customHeight="1"/>
    <row r="84" spans="1:6" ht="20.100000000000001" customHeight="1">
      <c r="F84" s="63"/>
    </row>
    <row r="85" spans="1:6" ht="20.100000000000001" customHeight="1">
      <c r="F85" s="63"/>
    </row>
    <row r="86" spans="1:6" ht="20.100000000000001" customHeight="1">
      <c r="C86" s="89" t="s">
        <v>340</v>
      </c>
      <c r="D86" s="89">
        <v>44</v>
      </c>
    </row>
    <row r="87" spans="1:6" ht="20.100000000000001" customHeight="1">
      <c r="C87" s="89" t="s">
        <v>341</v>
      </c>
      <c r="D87" s="89">
        <v>2</v>
      </c>
    </row>
    <row r="88" spans="1:6" ht="20.100000000000001" customHeight="1">
      <c r="C88" s="89" t="s">
        <v>234</v>
      </c>
      <c r="D88" s="89">
        <v>3</v>
      </c>
    </row>
    <row r="89" spans="1:6" ht="20.100000000000001" customHeight="1">
      <c r="C89" s="89" t="s">
        <v>343</v>
      </c>
      <c r="D89" s="89">
        <v>12</v>
      </c>
    </row>
    <row r="90" spans="1:6" ht="20.100000000000001" customHeight="1">
      <c r="C90" s="89" t="s">
        <v>347</v>
      </c>
      <c r="D90" s="89">
        <v>5</v>
      </c>
    </row>
    <row r="91" spans="1:6" ht="20.100000000000001" customHeight="1">
      <c r="C91" s="89"/>
      <c r="D91" s="89">
        <f>SUM(D86:D90)</f>
        <v>66</v>
      </c>
    </row>
    <row r="92" spans="1:6" ht="20.100000000000001" customHeight="1"/>
    <row r="93" spans="1:6" ht="15.6">
      <c r="C93" s="90" t="s">
        <v>337</v>
      </c>
      <c r="D93" s="91" t="s">
        <v>283</v>
      </c>
    </row>
  </sheetData>
  <mergeCells count="9">
    <mergeCell ref="A1:E1"/>
    <mergeCell ref="A2:E2"/>
    <mergeCell ref="A3:E3"/>
    <mergeCell ref="A76:E76"/>
    <mergeCell ref="A4:A5"/>
    <mergeCell ref="B4:B5"/>
    <mergeCell ref="C4:C5"/>
    <mergeCell ref="D4:D5"/>
    <mergeCell ref="E4:E5"/>
  </mergeCells>
  <conditionalFormatting sqref="B21:B22">
    <cfRule type="duplicateValues" dxfId="29" priority="2"/>
  </conditionalFormatting>
  <conditionalFormatting sqref="B24:B25">
    <cfRule type="duplicateValues" dxfId="28" priority="1"/>
  </conditionalFormatting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7"/>
  <sheetViews>
    <sheetView topLeftCell="A34" workbookViewId="0">
      <selection activeCell="B41" sqref="B40:G41"/>
    </sheetView>
  </sheetViews>
  <sheetFormatPr defaultColWidth="9.109375" defaultRowHeight="20.100000000000001" customHeight="1"/>
  <cols>
    <col min="1" max="1" width="8.33203125" style="87" customWidth="1"/>
    <col min="2" max="2" width="8" style="87" customWidth="1"/>
    <col min="3" max="3" width="31" style="87" customWidth="1"/>
    <col min="4" max="4" width="24.44140625" style="87" customWidth="1"/>
    <col min="5" max="5" width="16.5546875" style="87" customWidth="1"/>
    <col min="6" max="6" width="33" style="87" hidden="1" customWidth="1"/>
    <col min="7" max="7" width="21.109375" style="82" customWidth="1"/>
    <col min="8" max="16384" width="9.109375" style="87"/>
  </cols>
  <sheetData>
    <row r="1" spans="1:7" ht="20.100000000000001" customHeight="1">
      <c r="A1" s="81"/>
      <c r="B1" s="86"/>
      <c r="D1" s="88"/>
      <c r="E1" s="81"/>
    </row>
    <row r="2" spans="1:7" ht="20.100000000000001" customHeight="1">
      <c r="A2" s="514" t="s">
        <v>47</v>
      </c>
      <c r="B2" s="514"/>
      <c r="C2" s="514"/>
      <c r="D2" s="514"/>
      <c r="E2" s="514"/>
      <c r="F2" s="514"/>
      <c r="G2" s="514"/>
    </row>
    <row r="3" spans="1:7" ht="20.100000000000001" customHeight="1">
      <c r="A3" s="514" t="s">
        <v>274</v>
      </c>
      <c r="B3" s="514"/>
      <c r="C3" s="514"/>
      <c r="D3" s="514"/>
      <c r="E3" s="514"/>
      <c r="F3" s="514"/>
      <c r="G3" s="514"/>
    </row>
    <row r="4" spans="1:7" ht="20.100000000000001" customHeight="1">
      <c r="A4" s="518" t="s">
        <v>349</v>
      </c>
      <c r="B4" s="518"/>
      <c r="C4" s="518"/>
      <c r="D4" s="518"/>
      <c r="E4" s="518"/>
      <c r="F4" s="518"/>
      <c r="G4" s="518"/>
    </row>
    <row r="5" spans="1:7" ht="20.100000000000001" customHeight="1">
      <c r="A5" s="544" t="s">
        <v>1</v>
      </c>
      <c r="B5" s="544" t="s">
        <v>216</v>
      </c>
      <c r="C5" s="544" t="s">
        <v>3</v>
      </c>
      <c r="D5" s="544" t="s">
        <v>4</v>
      </c>
      <c r="E5" s="544" t="s">
        <v>8</v>
      </c>
      <c r="F5" s="548" t="s">
        <v>350</v>
      </c>
      <c r="G5" s="548" t="s">
        <v>7</v>
      </c>
    </row>
    <row r="6" spans="1:7" ht="20.100000000000001" customHeight="1">
      <c r="A6" s="544"/>
      <c r="B6" s="544"/>
      <c r="C6" s="544"/>
      <c r="D6" s="544"/>
      <c r="E6" s="544"/>
      <c r="F6" s="548"/>
      <c r="G6" s="548"/>
    </row>
    <row r="7" spans="1:7" ht="20.100000000000001" customHeight="1">
      <c r="A7" s="53">
        <v>1</v>
      </c>
      <c r="B7" s="53">
        <v>1251</v>
      </c>
      <c r="C7" s="67" t="s">
        <v>9</v>
      </c>
      <c r="D7" s="68" t="s">
        <v>257</v>
      </c>
      <c r="E7" s="68">
        <v>9840850744</v>
      </c>
      <c r="F7" s="67" t="s">
        <v>351</v>
      </c>
      <c r="G7" s="92">
        <v>42387</v>
      </c>
    </row>
    <row r="8" spans="1:7" ht="20.100000000000001" customHeight="1">
      <c r="A8" s="53">
        <v>2</v>
      </c>
      <c r="B8" s="53">
        <v>308</v>
      </c>
      <c r="C8" s="67" t="s">
        <v>299</v>
      </c>
      <c r="D8" s="68" t="s">
        <v>19</v>
      </c>
      <c r="E8" s="68">
        <v>9908823834</v>
      </c>
      <c r="F8" s="67" t="s">
        <v>299</v>
      </c>
      <c r="G8" s="92">
        <v>39259</v>
      </c>
    </row>
    <row r="9" spans="1:7" ht="20.100000000000001" customHeight="1">
      <c r="A9" s="53">
        <v>3</v>
      </c>
      <c r="B9" s="53">
        <v>1182</v>
      </c>
      <c r="C9" s="70" t="s">
        <v>26</v>
      </c>
      <c r="D9" s="71" t="s">
        <v>258</v>
      </c>
      <c r="E9" s="68">
        <v>9676354404</v>
      </c>
      <c r="F9" s="70" t="s">
        <v>26</v>
      </c>
      <c r="G9" s="93">
        <v>42193</v>
      </c>
    </row>
    <row r="10" spans="1:7" ht="20.100000000000001" customHeight="1">
      <c r="A10" s="53">
        <v>4</v>
      </c>
      <c r="B10" s="53">
        <v>2511</v>
      </c>
      <c r="C10" s="55" t="s">
        <v>109</v>
      </c>
      <c r="D10" s="71" t="s">
        <v>180</v>
      </c>
      <c r="E10" s="53">
        <v>6379772780</v>
      </c>
      <c r="F10" s="55" t="s">
        <v>109</v>
      </c>
      <c r="G10" s="62">
        <v>45112</v>
      </c>
    </row>
    <row r="11" spans="1:7" ht="20.100000000000001" customHeight="1">
      <c r="A11" s="53">
        <v>5</v>
      </c>
      <c r="B11" s="53">
        <v>312</v>
      </c>
      <c r="C11" s="67" t="s">
        <v>42</v>
      </c>
      <c r="D11" s="94" t="s">
        <v>317</v>
      </c>
      <c r="E11" s="68">
        <v>8297208489</v>
      </c>
      <c r="F11" s="67" t="s">
        <v>352</v>
      </c>
      <c r="G11" s="93">
        <v>40206</v>
      </c>
    </row>
    <row r="12" spans="1:7" ht="20.100000000000001" customHeight="1">
      <c r="A12" s="53">
        <v>6</v>
      </c>
      <c r="B12" s="53">
        <v>2090</v>
      </c>
      <c r="C12" s="54" t="s">
        <v>33</v>
      </c>
      <c r="D12" s="71" t="s">
        <v>180</v>
      </c>
      <c r="E12" s="68">
        <v>9441540580</v>
      </c>
      <c r="F12" s="54" t="s">
        <v>33</v>
      </c>
      <c r="G12" s="93">
        <v>44107</v>
      </c>
    </row>
    <row r="13" spans="1:7" ht="20.100000000000001" customHeight="1">
      <c r="A13" s="53">
        <v>7</v>
      </c>
      <c r="B13" s="53">
        <v>523</v>
      </c>
      <c r="C13" s="73" t="s">
        <v>348</v>
      </c>
      <c r="D13" s="71" t="s">
        <v>180</v>
      </c>
      <c r="E13" s="53">
        <v>9441536410</v>
      </c>
      <c r="F13" s="73" t="s">
        <v>348</v>
      </c>
      <c r="G13" s="56"/>
    </row>
    <row r="14" spans="1:7" ht="20.100000000000001" customHeight="1">
      <c r="A14" s="53">
        <v>8</v>
      </c>
      <c r="B14" s="53">
        <v>2827</v>
      </c>
      <c r="C14" s="55" t="s">
        <v>279</v>
      </c>
      <c r="D14" s="71" t="s">
        <v>180</v>
      </c>
      <c r="E14" s="68">
        <v>8085575111</v>
      </c>
      <c r="F14" s="55" t="s">
        <v>279</v>
      </c>
      <c r="G14" s="95">
        <v>45495</v>
      </c>
    </row>
    <row r="15" spans="1:7" ht="20.100000000000001" customHeight="1">
      <c r="A15" s="53">
        <v>9</v>
      </c>
      <c r="B15" s="53">
        <v>2490</v>
      </c>
      <c r="C15" s="55" t="s">
        <v>353</v>
      </c>
      <c r="D15" s="68" t="s">
        <v>157</v>
      </c>
      <c r="E15" s="53">
        <v>9848129660</v>
      </c>
      <c r="F15" s="55" t="s">
        <v>353</v>
      </c>
      <c r="G15" s="96">
        <v>45084</v>
      </c>
    </row>
    <row r="16" spans="1:7" ht="20.100000000000001" customHeight="1">
      <c r="A16" s="53">
        <v>10</v>
      </c>
      <c r="B16" s="53">
        <v>2493</v>
      </c>
      <c r="C16" s="55" t="s">
        <v>220</v>
      </c>
      <c r="D16" s="68" t="s">
        <v>157</v>
      </c>
      <c r="E16" s="53">
        <v>8940506036</v>
      </c>
      <c r="F16" s="55" t="s">
        <v>354</v>
      </c>
      <c r="G16" s="96">
        <v>45092</v>
      </c>
    </row>
    <row r="17" spans="1:7" ht="20.100000000000001" customHeight="1">
      <c r="A17" s="53">
        <v>11</v>
      </c>
      <c r="B17" s="53">
        <v>2499</v>
      </c>
      <c r="C17" s="73" t="s">
        <v>221</v>
      </c>
      <c r="D17" s="68" t="s">
        <v>157</v>
      </c>
      <c r="E17" s="53">
        <v>9994476533</v>
      </c>
      <c r="F17" s="97" t="s">
        <v>355</v>
      </c>
      <c r="G17" s="61">
        <v>45103</v>
      </c>
    </row>
    <row r="18" spans="1:7" ht="20.100000000000001" customHeight="1">
      <c r="A18" s="53">
        <v>12</v>
      </c>
      <c r="B18" s="53">
        <v>2501</v>
      </c>
      <c r="C18" s="55" t="s">
        <v>101</v>
      </c>
      <c r="D18" s="68" t="s">
        <v>157</v>
      </c>
      <c r="E18" s="53">
        <v>9848052474</v>
      </c>
      <c r="F18" s="55" t="s">
        <v>101</v>
      </c>
      <c r="G18" s="61">
        <v>45103</v>
      </c>
    </row>
    <row r="19" spans="1:7" ht="20.100000000000001" customHeight="1">
      <c r="A19" s="53">
        <v>13</v>
      </c>
      <c r="B19" s="53">
        <v>2541</v>
      </c>
      <c r="C19" s="54" t="s">
        <v>127</v>
      </c>
      <c r="D19" s="68" t="s">
        <v>157</v>
      </c>
      <c r="E19" s="53">
        <v>7981738522</v>
      </c>
      <c r="F19" s="54" t="s">
        <v>127</v>
      </c>
      <c r="G19" s="96">
        <v>45139</v>
      </c>
    </row>
    <row r="20" spans="1:7" ht="20.100000000000001" customHeight="1">
      <c r="A20" s="53">
        <v>14</v>
      </c>
      <c r="B20" s="53">
        <v>2947</v>
      </c>
      <c r="C20" s="73" t="s">
        <v>204</v>
      </c>
      <c r="D20" s="68" t="s">
        <v>157</v>
      </c>
      <c r="E20" s="53">
        <v>9032045840</v>
      </c>
      <c r="F20" s="73" t="s">
        <v>204</v>
      </c>
      <c r="G20" s="96">
        <v>45632</v>
      </c>
    </row>
    <row r="21" spans="1:7" ht="20.100000000000001" customHeight="1">
      <c r="A21" s="53">
        <v>15</v>
      </c>
      <c r="B21" s="53">
        <v>540</v>
      </c>
      <c r="C21" s="67" t="s">
        <v>356</v>
      </c>
      <c r="D21" s="71" t="s">
        <v>68</v>
      </c>
      <c r="E21" s="68">
        <v>9550367172</v>
      </c>
      <c r="F21" s="67" t="s">
        <v>357</v>
      </c>
      <c r="G21" s="93">
        <v>40032</v>
      </c>
    </row>
    <row r="22" spans="1:7" ht="20.100000000000001" customHeight="1">
      <c r="A22" s="53">
        <v>16</v>
      </c>
      <c r="B22" s="53">
        <v>1181</v>
      </c>
      <c r="C22" s="70" t="s">
        <v>55</v>
      </c>
      <c r="D22" s="71" t="s">
        <v>68</v>
      </c>
      <c r="E22" s="68">
        <v>9493670612</v>
      </c>
      <c r="F22" s="70" t="s">
        <v>55</v>
      </c>
      <c r="G22" s="93">
        <v>42193</v>
      </c>
    </row>
    <row r="23" spans="1:7" ht="20.100000000000001" customHeight="1">
      <c r="A23" s="53">
        <v>17</v>
      </c>
      <c r="B23" s="53">
        <v>1243</v>
      </c>
      <c r="C23" s="70" t="s">
        <v>58</v>
      </c>
      <c r="D23" s="71" t="s">
        <v>68</v>
      </c>
      <c r="E23" s="68">
        <v>8790166779</v>
      </c>
      <c r="F23" s="70" t="s">
        <v>358</v>
      </c>
      <c r="G23" s="93">
        <v>42354</v>
      </c>
    </row>
    <row r="24" spans="1:7" ht="20.100000000000001" customHeight="1">
      <c r="A24" s="53">
        <v>18</v>
      </c>
      <c r="B24" s="53">
        <v>2432</v>
      </c>
      <c r="C24" s="54" t="s">
        <v>280</v>
      </c>
      <c r="D24" s="71" t="s">
        <v>68</v>
      </c>
      <c r="E24" s="53">
        <v>7093243607</v>
      </c>
      <c r="F24" s="54" t="s">
        <v>280</v>
      </c>
      <c r="G24" s="61">
        <v>44982</v>
      </c>
    </row>
    <row r="25" spans="1:7" ht="20.100000000000001" customHeight="1">
      <c r="A25" s="53">
        <v>19</v>
      </c>
      <c r="B25" s="75" t="s">
        <v>66</v>
      </c>
      <c r="C25" s="70" t="s">
        <v>67</v>
      </c>
      <c r="D25" s="71" t="s">
        <v>68</v>
      </c>
      <c r="E25" s="53">
        <v>9614547390</v>
      </c>
      <c r="F25" s="70" t="s">
        <v>67</v>
      </c>
      <c r="G25" s="93">
        <v>45014</v>
      </c>
    </row>
    <row r="26" spans="1:7" ht="20.100000000000001" customHeight="1">
      <c r="A26" s="53">
        <v>20</v>
      </c>
      <c r="B26" s="53">
        <v>2454</v>
      </c>
      <c r="C26" s="54" t="s">
        <v>318</v>
      </c>
      <c r="D26" s="71" t="s">
        <v>68</v>
      </c>
      <c r="E26" s="53">
        <v>7729990303</v>
      </c>
      <c r="F26" s="54" t="s">
        <v>218</v>
      </c>
      <c r="G26" s="93">
        <v>45047</v>
      </c>
    </row>
    <row r="27" spans="1:7" ht="20.100000000000001" customHeight="1">
      <c r="A27" s="53">
        <v>21</v>
      </c>
      <c r="B27" s="53">
        <v>2502</v>
      </c>
      <c r="C27" s="55" t="s">
        <v>359</v>
      </c>
      <c r="D27" s="71" t="s">
        <v>68</v>
      </c>
      <c r="E27" s="53">
        <v>9600605782</v>
      </c>
      <c r="F27" s="98" t="s">
        <v>359</v>
      </c>
      <c r="G27" s="62">
        <v>45105</v>
      </c>
    </row>
    <row r="28" spans="1:7" ht="20.100000000000001" customHeight="1">
      <c r="A28" s="53">
        <v>22</v>
      </c>
      <c r="B28" s="53">
        <v>2514</v>
      </c>
      <c r="C28" s="55" t="s">
        <v>113</v>
      </c>
      <c r="D28" s="71" t="s">
        <v>68</v>
      </c>
      <c r="E28" s="53">
        <v>9500312191</v>
      </c>
      <c r="F28" s="55" t="s">
        <v>113</v>
      </c>
      <c r="G28" s="62">
        <v>45117</v>
      </c>
    </row>
    <row r="29" spans="1:7" ht="20.100000000000001" customHeight="1">
      <c r="A29" s="53">
        <v>23</v>
      </c>
      <c r="B29" s="53">
        <v>2519</v>
      </c>
      <c r="C29" s="55" t="s">
        <v>360</v>
      </c>
      <c r="D29" s="71" t="s">
        <v>68</v>
      </c>
      <c r="E29" s="71">
        <v>8978116834</v>
      </c>
      <c r="F29" s="55" t="s">
        <v>360</v>
      </c>
      <c r="G29" s="96">
        <v>45121</v>
      </c>
    </row>
    <row r="30" spans="1:7" ht="20.100000000000001" customHeight="1">
      <c r="A30" s="53">
        <v>24</v>
      </c>
      <c r="B30" s="71">
        <v>2637</v>
      </c>
      <c r="C30" s="70" t="s">
        <v>261</v>
      </c>
      <c r="D30" s="71" t="s">
        <v>68</v>
      </c>
      <c r="E30" s="53">
        <v>9706631085</v>
      </c>
      <c r="F30" s="70" t="s">
        <v>261</v>
      </c>
      <c r="G30" s="62">
        <v>45245</v>
      </c>
    </row>
    <row r="31" spans="1:7" ht="20.100000000000001" customHeight="1">
      <c r="A31" s="53">
        <v>25</v>
      </c>
      <c r="B31" s="71">
        <v>2689</v>
      </c>
      <c r="C31" s="70" t="s">
        <v>154</v>
      </c>
      <c r="D31" s="71" t="s">
        <v>68</v>
      </c>
      <c r="E31" s="56">
        <v>7006157037</v>
      </c>
      <c r="F31" s="70" t="s">
        <v>154</v>
      </c>
      <c r="G31" s="96">
        <v>45289</v>
      </c>
    </row>
    <row r="32" spans="1:7" ht="20.100000000000001" customHeight="1">
      <c r="A32" s="53">
        <v>26</v>
      </c>
      <c r="B32" s="53">
        <v>2728</v>
      </c>
      <c r="C32" s="55" t="s">
        <v>163</v>
      </c>
      <c r="D32" s="71" t="s">
        <v>68</v>
      </c>
      <c r="E32" s="53">
        <v>7981960066</v>
      </c>
      <c r="F32" s="55" t="s">
        <v>163</v>
      </c>
      <c r="G32" s="62">
        <v>45385</v>
      </c>
    </row>
    <row r="33" spans="1:7" ht="20.100000000000001" customHeight="1">
      <c r="A33" s="53">
        <v>27</v>
      </c>
      <c r="B33" s="53">
        <v>2765</v>
      </c>
      <c r="C33" s="54" t="s">
        <v>168</v>
      </c>
      <c r="D33" s="71" t="s">
        <v>68</v>
      </c>
      <c r="E33" s="53">
        <v>9788682940</v>
      </c>
      <c r="F33" s="54" t="s">
        <v>168</v>
      </c>
      <c r="G33" s="96">
        <v>45453</v>
      </c>
    </row>
    <row r="34" spans="1:7" ht="20.100000000000001" customHeight="1">
      <c r="A34" s="53">
        <v>28</v>
      </c>
      <c r="B34" s="53">
        <v>2812</v>
      </c>
      <c r="C34" s="77" t="s">
        <v>301</v>
      </c>
      <c r="D34" s="71" t="s">
        <v>68</v>
      </c>
      <c r="E34" s="53">
        <v>7731063177</v>
      </c>
      <c r="F34" s="77" t="s">
        <v>361</v>
      </c>
      <c r="G34" s="95">
        <v>45488</v>
      </c>
    </row>
    <row r="35" spans="1:7" ht="20.100000000000001" customHeight="1">
      <c r="A35" s="53">
        <v>29</v>
      </c>
      <c r="B35" s="53">
        <v>2814</v>
      </c>
      <c r="C35" s="77" t="s">
        <v>327</v>
      </c>
      <c r="D35" s="71" t="s">
        <v>68</v>
      </c>
      <c r="E35" s="53">
        <v>8056033643</v>
      </c>
      <c r="F35" s="77" t="s">
        <v>327</v>
      </c>
      <c r="G35" s="95">
        <v>45488</v>
      </c>
    </row>
    <row r="36" spans="1:7" ht="20.100000000000001" customHeight="1">
      <c r="A36" s="53">
        <v>30</v>
      </c>
      <c r="B36" s="53">
        <v>2512</v>
      </c>
      <c r="C36" s="54" t="s">
        <v>362</v>
      </c>
      <c r="D36" s="71" t="s">
        <v>68</v>
      </c>
      <c r="E36" s="53">
        <v>9292709507</v>
      </c>
      <c r="F36" s="54" t="s">
        <v>362</v>
      </c>
      <c r="G36" s="99">
        <v>45117</v>
      </c>
    </row>
    <row r="37" spans="1:7" ht="20.100000000000001" customHeight="1">
      <c r="A37" s="53">
        <v>31</v>
      </c>
      <c r="B37" s="53">
        <v>2898</v>
      </c>
      <c r="C37" s="73" t="s">
        <v>190</v>
      </c>
      <c r="D37" s="71" t="s">
        <v>68</v>
      </c>
      <c r="E37" s="53">
        <v>9989895732</v>
      </c>
      <c r="F37" s="73" t="s">
        <v>190</v>
      </c>
      <c r="G37" s="96">
        <v>45531</v>
      </c>
    </row>
    <row r="38" spans="1:7" ht="20.100000000000001" customHeight="1">
      <c r="A38" s="53">
        <v>32</v>
      </c>
      <c r="B38" s="53">
        <v>2921</v>
      </c>
      <c r="C38" s="73" t="s">
        <v>191</v>
      </c>
      <c r="D38" s="71" t="s">
        <v>363</v>
      </c>
      <c r="E38" s="56">
        <v>9014766760</v>
      </c>
      <c r="F38" s="73" t="s">
        <v>364</v>
      </c>
      <c r="G38" s="96">
        <v>45580</v>
      </c>
    </row>
    <row r="39" spans="1:7" ht="20.100000000000001" customHeight="1">
      <c r="A39" s="53">
        <v>33</v>
      </c>
      <c r="B39" s="53">
        <v>2934</v>
      </c>
      <c r="C39" s="73" t="s">
        <v>193</v>
      </c>
      <c r="D39" s="71" t="s">
        <v>68</v>
      </c>
      <c r="E39" s="56">
        <v>9440664462</v>
      </c>
      <c r="F39" s="73" t="s">
        <v>193</v>
      </c>
      <c r="G39" s="96">
        <v>45600</v>
      </c>
    </row>
    <row r="40" spans="1:7" ht="20.100000000000001" customHeight="1">
      <c r="A40" s="53">
        <v>34</v>
      </c>
      <c r="B40" s="53">
        <v>2965</v>
      </c>
      <c r="C40" s="73" t="s">
        <v>365</v>
      </c>
      <c r="D40" s="53" t="s">
        <v>68</v>
      </c>
      <c r="E40" s="56">
        <v>9642674547</v>
      </c>
      <c r="F40" s="73" t="s">
        <v>366</v>
      </c>
      <c r="G40" s="96">
        <v>45663</v>
      </c>
    </row>
    <row r="41" spans="1:7" ht="20.100000000000001" customHeight="1">
      <c r="A41" s="53">
        <v>35</v>
      </c>
      <c r="B41" s="53">
        <v>2977</v>
      </c>
      <c r="C41" s="73" t="s">
        <v>367</v>
      </c>
      <c r="D41" s="53" t="s">
        <v>68</v>
      </c>
      <c r="E41" s="56">
        <v>9039466727</v>
      </c>
      <c r="F41" s="73" t="s">
        <v>195</v>
      </c>
      <c r="G41" s="96">
        <v>45675</v>
      </c>
    </row>
    <row r="42" spans="1:7" ht="20.100000000000001" customHeight="1">
      <c r="A42" s="53">
        <v>36</v>
      </c>
      <c r="B42" s="53">
        <v>2936</v>
      </c>
      <c r="C42" s="73" t="s">
        <v>197</v>
      </c>
      <c r="D42" s="71" t="s">
        <v>198</v>
      </c>
      <c r="E42" s="56">
        <v>8125544167</v>
      </c>
      <c r="F42" s="73" t="s">
        <v>197</v>
      </c>
      <c r="G42" s="96">
        <v>45600</v>
      </c>
    </row>
    <row r="43" spans="1:7" ht="20.100000000000001" customHeight="1">
      <c r="A43" s="53">
        <v>37</v>
      </c>
      <c r="B43" s="53">
        <v>2950</v>
      </c>
      <c r="C43" s="73" t="s">
        <v>199</v>
      </c>
      <c r="D43" s="71" t="s">
        <v>198</v>
      </c>
      <c r="E43" s="53">
        <v>9000024070</v>
      </c>
      <c r="F43" s="73" t="s">
        <v>199</v>
      </c>
      <c r="G43" s="96">
        <v>45638</v>
      </c>
    </row>
    <row r="44" spans="1:7" ht="20.100000000000001" customHeight="1">
      <c r="A44" s="53">
        <v>38</v>
      </c>
      <c r="B44" s="53">
        <v>633</v>
      </c>
      <c r="C44" s="54" t="s">
        <v>305</v>
      </c>
      <c r="D44" s="53" t="s">
        <v>320</v>
      </c>
      <c r="E44" s="53">
        <v>9494678628</v>
      </c>
      <c r="F44" s="54" t="s">
        <v>305</v>
      </c>
      <c r="G44" s="62">
        <v>40380</v>
      </c>
    </row>
    <row r="45" spans="1:7" ht="20.100000000000001" customHeight="1">
      <c r="A45" s="53">
        <v>39</v>
      </c>
      <c r="B45" s="53">
        <v>2285</v>
      </c>
      <c r="C45" s="54" t="s">
        <v>306</v>
      </c>
      <c r="D45" s="53" t="s">
        <v>321</v>
      </c>
      <c r="E45" s="53">
        <v>9640066261</v>
      </c>
      <c r="F45" s="100" t="s">
        <v>368</v>
      </c>
      <c r="G45" s="62">
        <v>44718</v>
      </c>
    </row>
    <row r="46" spans="1:7" ht="20.100000000000001" customHeight="1">
      <c r="A46" s="53">
        <v>40</v>
      </c>
      <c r="B46" s="53">
        <v>2826</v>
      </c>
      <c r="C46" s="55" t="s">
        <v>178</v>
      </c>
      <c r="D46" s="53" t="s">
        <v>62</v>
      </c>
      <c r="E46" s="53">
        <v>9542588470</v>
      </c>
      <c r="F46" s="55" t="s">
        <v>178</v>
      </c>
      <c r="G46" s="95">
        <v>45495</v>
      </c>
    </row>
    <row r="47" spans="1:7" ht="20.100000000000001" customHeight="1">
      <c r="A47" s="53">
        <v>41</v>
      </c>
      <c r="B47" s="53">
        <v>2925</v>
      </c>
      <c r="C47" s="73" t="s">
        <v>369</v>
      </c>
      <c r="D47" s="53" t="s">
        <v>62</v>
      </c>
      <c r="E47" s="56">
        <v>7995794652</v>
      </c>
      <c r="F47" s="73" t="s">
        <v>370</v>
      </c>
      <c r="G47" s="96">
        <v>45742</v>
      </c>
    </row>
    <row r="48" spans="1:7" ht="20.100000000000001" customHeight="1">
      <c r="A48" s="53">
        <v>42</v>
      </c>
      <c r="B48" s="53">
        <v>3038</v>
      </c>
      <c r="C48" s="73" t="s">
        <v>201</v>
      </c>
      <c r="D48" s="53" t="s">
        <v>68</v>
      </c>
      <c r="E48" s="56">
        <v>8330983764</v>
      </c>
      <c r="F48" s="73" t="s">
        <v>371</v>
      </c>
      <c r="G48" s="96">
        <v>45742</v>
      </c>
    </row>
    <row r="49" spans="1:7" ht="20.100000000000001" customHeight="1">
      <c r="A49" s="53">
        <v>43</v>
      </c>
      <c r="B49" s="73"/>
      <c r="C49" s="101" t="s">
        <v>140</v>
      </c>
      <c r="D49" s="102" t="s">
        <v>136</v>
      </c>
      <c r="E49" s="103"/>
      <c r="F49" s="73"/>
      <c r="G49" s="62">
        <v>45071</v>
      </c>
    </row>
    <row r="50" spans="1:7" ht="20.100000000000001" customHeight="1">
      <c r="A50" s="53">
        <v>44</v>
      </c>
      <c r="B50" s="73"/>
      <c r="C50" s="101" t="s">
        <v>61</v>
      </c>
      <c r="D50" s="104" t="s">
        <v>62</v>
      </c>
      <c r="E50" s="105"/>
      <c r="F50" s="73"/>
      <c r="G50" s="61">
        <v>44928</v>
      </c>
    </row>
    <row r="51" spans="1:7" ht="20.100000000000001" customHeight="1">
      <c r="A51" s="81"/>
      <c r="C51" s="106"/>
      <c r="D51" s="107"/>
      <c r="E51" s="108"/>
      <c r="G51" s="109"/>
    </row>
    <row r="52" spans="1:7" ht="20.100000000000001" customHeight="1">
      <c r="A52" s="81"/>
      <c r="C52" s="106"/>
      <c r="D52" s="107"/>
      <c r="E52" s="108"/>
      <c r="G52" s="109"/>
    </row>
    <row r="53" spans="1:7" ht="20.100000000000001" customHeight="1">
      <c r="G53" s="87"/>
    </row>
    <row r="54" spans="1:7" ht="20.100000000000001" customHeight="1">
      <c r="B54" s="5">
        <v>3052</v>
      </c>
      <c r="C54" s="12" t="s">
        <v>202</v>
      </c>
      <c r="D54" s="5" t="s">
        <v>372</v>
      </c>
    </row>
    <row r="55" spans="1:7" ht="20.100000000000001" customHeight="1">
      <c r="B55" s="5">
        <v>3073</v>
      </c>
      <c r="C55" s="12" t="s">
        <v>373</v>
      </c>
      <c r="D55" s="7" t="s">
        <v>374</v>
      </c>
    </row>
    <row r="56" spans="1:7" ht="20.100000000000001" customHeight="1">
      <c r="B56" s="5"/>
      <c r="C56" s="58" t="s">
        <v>375</v>
      </c>
      <c r="D56" s="7" t="s">
        <v>374</v>
      </c>
    </row>
    <row r="57" spans="1:7" ht="20.100000000000001" customHeight="1">
      <c r="B57" s="73"/>
      <c r="C57" s="73" t="s">
        <v>376</v>
      </c>
      <c r="D57" s="73" t="s">
        <v>62</v>
      </c>
    </row>
  </sheetData>
  <mergeCells count="10">
    <mergeCell ref="A2:G2"/>
    <mergeCell ref="A3:G3"/>
    <mergeCell ref="A4:G4"/>
    <mergeCell ref="A5:A6"/>
    <mergeCell ref="B5:B6"/>
    <mergeCell ref="C5:C6"/>
    <mergeCell ref="D5:D6"/>
    <mergeCell ref="E5:E6"/>
    <mergeCell ref="F5:F6"/>
    <mergeCell ref="G5:G6"/>
  </mergeCells>
  <conditionalFormatting sqref="B22:B23">
    <cfRule type="duplicateValues" dxfId="27" priority="2"/>
  </conditionalFormatting>
  <conditionalFormatting sqref="B25:B26">
    <cfRule type="duplicateValues" dxfId="26" priority="1"/>
  </conditionalFormatting>
  <pageMargins left="0.39370078740157499" right="0.39370078740157499" top="0.74803149606299202" bottom="0.74803149606299202" header="0.31496062992126" footer="0.31496062992126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1"/>
  <sheetViews>
    <sheetView topLeftCell="A70" zoomScale="90" zoomScaleNormal="90" workbookViewId="0">
      <selection activeCell="H74" sqref="H74"/>
    </sheetView>
  </sheetViews>
  <sheetFormatPr defaultColWidth="9" defaultRowHeight="14.4"/>
  <cols>
    <col min="1" max="1" width="6.88671875" customWidth="1"/>
    <col min="3" max="3" width="37.109375" customWidth="1"/>
    <col min="4" max="4" width="33.5546875" customWidth="1"/>
    <col min="5" max="5" width="14.33203125" bestFit="1" customWidth="1"/>
    <col min="6" max="6" width="11.5546875" customWidth="1"/>
    <col min="7" max="7" width="12.5546875" customWidth="1"/>
  </cols>
  <sheetData>
    <row r="1" spans="1:6" ht="20.100000000000001" customHeight="1">
      <c r="A1" s="514" t="s">
        <v>47</v>
      </c>
      <c r="B1" s="514"/>
      <c r="C1" s="514"/>
      <c r="D1" s="514"/>
      <c r="E1" s="514"/>
      <c r="F1" s="514"/>
    </row>
    <row r="2" spans="1:6" ht="20.100000000000001" customHeight="1">
      <c r="A2" s="514" t="s">
        <v>274</v>
      </c>
      <c r="B2" s="514"/>
      <c r="C2" s="514"/>
      <c r="D2" s="514"/>
      <c r="E2" s="514"/>
      <c r="F2" s="514"/>
    </row>
    <row r="3" spans="1:6" ht="20.100000000000001" customHeight="1">
      <c r="A3" s="518" t="s">
        <v>377</v>
      </c>
      <c r="B3" s="518"/>
      <c r="C3" s="518"/>
      <c r="D3" s="518"/>
      <c r="E3" s="518"/>
      <c r="F3" s="518"/>
    </row>
    <row r="4" spans="1:6" ht="20.100000000000001" customHeight="1">
      <c r="A4" s="544" t="s">
        <v>1</v>
      </c>
      <c r="B4" s="544" t="s">
        <v>216</v>
      </c>
      <c r="C4" s="544" t="s">
        <v>3</v>
      </c>
      <c r="D4" s="544" t="s">
        <v>4</v>
      </c>
      <c r="E4" s="544" t="s">
        <v>8</v>
      </c>
      <c r="F4" s="549" t="s">
        <v>276</v>
      </c>
    </row>
    <row r="5" spans="1:6" ht="20.100000000000001" customHeight="1">
      <c r="A5" s="544"/>
      <c r="B5" s="544"/>
      <c r="C5" s="544"/>
      <c r="D5" s="544"/>
      <c r="E5" s="544"/>
      <c r="F5" s="549"/>
    </row>
    <row r="6" spans="1:6" ht="16.5" customHeight="1">
      <c r="A6" s="53">
        <v>1</v>
      </c>
      <c r="B6" s="53">
        <v>1251</v>
      </c>
      <c r="C6" s="67" t="s">
        <v>9</v>
      </c>
      <c r="D6" s="68" t="s">
        <v>257</v>
      </c>
      <c r="E6" s="68">
        <v>9840850744</v>
      </c>
      <c r="F6" s="69"/>
    </row>
    <row r="7" spans="1:6" ht="16.5" customHeight="1">
      <c r="A7" s="53">
        <v>2</v>
      </c>
      <c r="B7" s="53">
        <v>308</v>
      </c>
      <c r="C7" s="67" t="s">
        <v>299</v>
      </c>
      <c r="D7" s="68" t="s">
        <v>19</v>
      </c>
      <c r="E7" s="68">
        <v>9908823834</v>
      </c>
      <c r="F7" s="69"/>
    </row>
    <row r="8" spans="1:6" ht="16.5" customHeight="1">
      <c r="A8" s="53">
        <v>3</v>
      </c>
      <c r="B8" s="53">
        <v>1182</v>
      </c>
      <c r="C8" s="70" t="s">
        <v>26</v>
      </c>
      <c r="D8" s="71" t="s">
        <v>258</v>
      </c>
      <c r="E8" s="68">
        <v>9676354404</v>
      </c>
      <c r="F8" s="69"/>
    </row>
    <row r="9" spans="1:6" ht="16.5" customHeight="1">
      <c r="A9" s="53">
        <v>4</v>
      </c>
      <c r="B9" s="53">
        <v>2511</v>
      </c>
      <c r="C9" s="55" t="s">
        <v>109</v>
      </c>
      <c r="D9" s="71" t="s">
        <v>180</v>
      </c>
      <c r="E9" s="53">
        <v>6379772780</v>
      </c>
      <c r="F9" s="69"/>
    </row>
    <row r="10" spans="1:6" ht="15" customHeight="1">
      <c r="A10" s="53">
        <v>5</v>
      </c>
      <c r="B10" s="53">
        <v>312</v>
      </c>
      <c r="C10" s="67" t="s">
        <v>42</v>
      </c>
      <c r="D10" s="72" t="s">
        <v>317</v>
      </c>
      <c r="E10" s="68">
        <v>8297208489</v>
      </c>
      <c r="F10" s="69"/>
    </row>
    <row r="11" spans="1:6" ht="16.5" customHeight="1">
      <c r="A11" s="53">
        <v>6</v>
      </c>
      <c r="B11" s="53">
        <v>2090</v>
      </c>
      <c r="C11" s="54" t="s">
        <v>33</v>
      </c>
      <c r="D11" s="71" t="s">
        <v>180</v>
      </c>
      <c r="E11" s="68">
        <v>9441540580</v>
      </c>
      <c r="F11" s="69"/>
    </row>
    <row r="12" spans="1:6" ht="16.5" customHeight="1">
      <c r="A12" s="53">
        <v>7</v>
      </c>
      <c r="B12" s="53">
        <v>523</v>
      </c>
      <c r="C12" s="12" t="s">
        <v>348</v>
      </c>
      <c r="D12" s="71" t="s">
        <v>180</v>
      </c>
      <c r="E12" s="5">
        <v>9441536410</v>
      </c>
      <c r="F12" s="69"/>
    </row>
    <row r="13" spans="1:6" ht="16.5" customHeight="1">
      <c r="A13" s="53">
        <v>8</v>
      </c>
      <c r="B13" s="53">
        <v>2827</v>
      </c>
      <c r="C13" s="55" t="s">
        <v>279</v>
      </c>
      <c r="D13" s="71" t="s">
        <v>180</v>
      </c>
      <c r="E13" s="68">
        <v>8085575111</v>
      </c>
      <c r="F13" s="69"/>
    </row>
    <row r="14" spans="1:6" ht="16.5" customHeight="1">
      <c r="A14" s="53">
        <v>9</v>
      </c>
      <c r="B14" s="53">
        <v>2490</v>
      </c>
      <c r="C14" s="55" t="s">
        <v>83</v>
      </c>
      <c r="D14" s="68" t="s">
        <v>157</v>
      </c>
      <c r="E14" s="53">
        <v>9848129660</v>
      </c>
      <c r="F14" s="69"/>
    </row>
    <row r="15" spans="1:6" ht="16.5" customHeight="1">
      <c r="A15" s="53">
        <v>10</v>
      </c>
      <c r="B15" s="53">
        <v>2493</v>
      </c>
      <c r="C15" s="55" t="s">
        <v>220</v>
      </c>
      <c r="D15" s="68" t="s">
        <v>157</v>
      </c>
      <c r="E15" s="53">
        <v>8940506036</v>
      </c>
      <c r="F15" s="69"/>
    </row>
    <row r="16" spans="1:6" ht="16.5" customHeight="1">
      <c r="A16" s="53">
        <v>11</v>
      </c>
      <c r="B16" s="53">
        <v>2499</v>
      </c>
      <c r="C16" s="73" t="s">
        <v>221</v>
      </c>
      <c r="D16" s="68" t="s">
        <v>157</v>
      </c>
      <c r="E16" s="53">
        <v>9994476533</v>
      </c>
      <c r="F16" s="69"/>
    </row>
    <row r="17" spans="1:7" ht="16.5" customHeight="1">
      <c r="A17" s="53">
        <v>12</v>
      </c>
      <c r="B17" s="53">
        <v>2501</v>
      </c>
      <c r="C17" s="55" t="s">
        <v>101</v>
      </c>
      <c r="D17" s="68" t="s">
        <v>157</v>
      </c>
      <c r="E17" s="53">
        <v>9848052474</v>
      </c>
      <c r="F17" s="69"/>
    </row>
    <row r="18" spans="1:7" ht="16.5" customHeight="1">
      <c r="A18" s="53">
        <v>13</v>
      </c>
      <c r="B18" s="53">
        <v>2541</v>
      </c>
      <c r="C18" s="54" t="s">
        <v>127</v>
      </c>
      <c r="D18" s="68" t="s">
        <v>157</v>
      </c>
      <c r="E18" s="53">
        <v>7981738522</v>
      </c>
      <c r="F18" s="69"/>
    </row>
    <row r="19" spans="1:7" ht="16.5" customHeight="1">
      <c r="A19" s="53">
        <v>14</v>
      </c>
      <c r="B19" s="53">
        <v>2947</v>
      </c>
      <c r="C19" s="69" t="s">
        <v>204</v>
      </c>
      <c r="D19" s="68" t="s">
        <v>157</v>
      </c>
      <c r="E19" s="53">
        <v>9032045840</v>
      </c>
      <c r="F19" s="69"/>
    </row>
    <row r="20" spans="1:7" ht="16.5" customHeight="1">
      <c r="A20" s="53">
        <v>15</v>
      </c>
      <c r="B20" s="53">
        <v>540</v>
      </c>
      <c r="C20" s="67" t="s">
        <v>378</v>
      </c>
      <c r="D20" s="71" t="s">
        <v>68</v>
      </c>
      <c r="E20" s="68">
        <v>9550367172</v>
      </c>
      <c r="F20" s="74">
        <v>45784</v>
      </c>
      <c r="G20" t="s">
        <v>708</v>
      </c>
    </row>
    <row r="21" spans="1:7" ht="16.5" customHeight="1">
      <c r="A21" s="53">
        <v>16</v>
      </c>
      <c r="B21" s="53">
        <v>1181</v>
      </c>
      <c r="C21" s="70" t="s">
        <v>55</v>
      </c>
      <c r="D21" s="71" t="s">
        <v>68</v>
      </c>
      <c r="E21" s="68">
        <v>9493670612</v>
      </c>
      <c r="F21" s="69"/>
    </row>
    <row r="22" spans="1:7" ht="16.5" customHeight="1">
      <c r="A22" s="53">
        <v>17</v>
      </c>
      <c r="B22" s="53">
        <v>1243</v>
      </c>
      <c r="C22" s="70" t="s">
        <v>58</v>
      </c>
      <c r="D22" s="71" t="s">
        <v>68</v>
      </c>
      <c r="E22" s="68">
        <v>8790166779</v>
      </c>
      <c r="F22" s="69"/>
    </row>
    <row r="23" spans="1:7" ht="16.5" customHeight="1">
      <c r="A23" s="53">
        <v>18</v>
      </c>
      <c r="B23" s="53">
        <v>2432</v>
      </c>
      <c r="C23" s="54" t="s">
        <v>280</v>
      </c>
      <c r="D23" s="71" t="s">
        <v>68</v>
      </c>
      <c r="E23" s="53">
        <v>7093243607</v>
      </c>
      <c r="F23" s="69"/>
    </row>
    <row r="24" spans="1:7" ht="16.5" customHeight="1">
      <c r="A24" s="53">
        <v>19</v>
      </c>
      <c r="B24" s="75" t="s">
        <v>66</v>
      </c>
      <c r="C24" s="70" t="s">
        <v>67</v>
      </c>
      <c r="D24" s="71" t="s">
        <v>68</v>
      </c>
      <c r="E24" s="53">
        <v>9614547390</v>
      </c>
      <c r="F24" s="69"/>
    </row>
    <row r="25" spans="1:7" ht="16.5" customHeight="1">
      <c r="A25" s="53">
        <v>20</v>
      </c>
      <c r="B25" s="53">
        <v>2454</v>
      </c>
      <c r="C25" s="54" t="s">
        <v>318</v>
      </c>
      <c r="D25" s="71" t="s">
        <v>68</v>
      </c>
      <c r="E25" s="53">
        <v>7729990303</v>
      </c>
      <c r="F25" s="69"/>
    </row>
    <row r="26" spans="1:7" ht="16.5" customHeight="1">
      <c r="A26" s="53">
        <v>21</v>
      </c>
      <c r="B26" s="53">
        <v>2502</v>
      </c>
      <c r="C26" s="55" t="s">
        <v>107</v>
      </c>
      <c r="D26" s="71" t="s">
        <v>68</v>
      </c>
      <c r="E26" s="53">
        <v>9600605782</v>
      </c>
      <c r="F26" s="69"/>
    </row>
    <row r="27" spans="1:7" ht="16.5" customHeight="1">
      <c r="A27" s="53">
        <v>22</v>
      </c>
      <c r="B27" s="53">
        <v>2514</v>
      </c>
      <c r="C27" s="55" t="s">
        <v>113</v>
      </c>
      <c r="D27" s="71" t="s">
        <v>68</v>
      </c>
      <c r="E27" s="53">
        <v>9500312191</v>
      </c>
      <c r="F27" s="76"/>
    </row>
    <row r="28" spans="1:7" ht="16.5" customHeight="1">
      <c r="A28" s="53">
        <v>23</v>
      </c>
      <c r="B28" s="53">
        <v>2519</v>
      </c>
      <c r="C28" s="55" t="s">
        <v>120</v>
      </c>
      <c r="D28" s="71" t="s">
        <v>68</v>
      </c>
      <c r="E28" s="71">
        <v>8978116834</v>
      </c>
      <c r="F28" s="69"/>
    </row>
    <row r="29" spans="1:7" ht="16.5" customHeight="1">
      <c r="A29" s="53">
        <v>24</v>
      </c>
      <c r="B29" s="71">
        <v>2637</v>
      </c>
      <c r="C29" s="70" t="s">
        <v>261</v>
      </c>
      <c r="D29" s="71" t="s">
        <v>68</v>
      </c>
      <c r="E29" s="53">
        <v>9706631085</v>
      </c>
      <c r="F29" s="69"/>
    </row>
    <row r="30" spans="1:7" ht="16.5" customHeight="1">
      <c r="A30" s="53">
        <v>25</v>
      </c>
      <c r="B30" s="71">
        <v>2689</v>
      </c>
      <c r="C30" s="70" t="s">
        <v>154</v>
      </c>
      <c r="D30" s="71" t="s">
        <v>68</v>
      </c>
      <c r="E30" s="56">
        <v>7006157037</v>
      </c>
      <c r="F30" s="69"/>
    </row>
    <row r="31" spans="1:7" ht="16.5" customHeight="1">
      <c r="A31" s="53">
        <v>26</v>
      </c>
      <c r="B31" s="53">
        <v>2728</v>
      </c>
      <c r="C31" s="55" t="s">
        <v>163</v>
      </c>
      <c r="D31" s="71" t="s">
        <v>68</v>
      </c>
      <c r="E31" s="53">
        <v>7981960066</v>
      </c>
      <c r="F31" s="69"/>
    </row>
    <row r="32" spans="1:7" ht="16.5" customHeight="1">
      <c r="A32" s="53">
        <v>27</v>
      </c>
      <c r="B32" s="53">
        <v>2765</v>
      </c>
      <c r="C32" s="54" t="s">
        <v>168</v>
      </c>
      <c r="D32" s="71" t="s">
        <v>68</v>
      </c>
      <c r="E32" s="53">
        <v>9788682940</v>
      </c>
      <c r="F32" s="69"/>
    </row>
    <row r="33" spans="1:6" ht="16.5" customHeight="1">
      <c r="A33" s="53">
        <v>28</v>
      </c>
      <c r="B33" s="53">
        <v>2812</v>
      </c>
      <c r="C33" s="77" t="s">
        <v>301</v>
      </c>
      <c r="D33" s="71" t="s">
        <v>68</v>
      </c>
      <c r="E33" s="53">
        <v>7731063177</v>
      </c>
      <c r="F33" s="69"/>
    </row>
    <row r="34" spans="1:6" ht="16.5" customHeight="1">
      <c r="A34" s="53">
        <v>29</v>
      </c>
      <c r="B34" s="53">
        <v>2814</v>
      </c>
      <c r="C34" s="77" t="s">
        <v>327</v>
      </c>
      <c r="D34" s="71" t="s">
        <v>68</v>
      </c>
      <c r="E34" s="53">
        <v>8056033643</v>
      </c>
      <c r="F34" s="69"/>
    </row>
    <row r="35" spans="1:6" ht="16.5" customHeight="1">
      <c r="A35" s="53">
        <v>30</v>
      </c>
      <c r="B35" s="53">
        <v>2512</v>
      </c>
      <c r="C35" s="54" t="s">
        <v>189</v>
      </c>
      <c r="D35" s="71" t="s">
        <v>68</v>
      </c>
      <c r="E35" s="53">
        <v>9292709507</v>
      </c>
      <c r="F35" s="69"/>
    </row>
    <row r="36" spans="1:6" ht="16.5" customHeight="1">
      <c r="A36" s="53">
        <v>31</v>
      </c>
      <c r="B36" s="53">
        <v>2898</v>
      </c>
      <c r="C36" s="73" t="s">
        <v>190</v>
      </c>
      <c r="D36" s="71" t="s">
        <v>68</v>
      </c>
      <c r="E36" s="53">
        <v>9989895732</v>
      </c>
      <c r="F36" s="69"/>
    </row>
    <row r="37" spans="1:6" ht="16.5" customHeight="1">
      <c r="A37" s="53">
        <v>32</v>
      </c>
      <c r="B37" s="53">
        <v>2921</v>
      </c>
      <c r="C37" s="73" t="s">
        <v>191</v>
      </c>
      <c r="D37" s="71" t="s">
        <v>192</v>
      </c>
      <c r="E37" s="56">
        <v>9014766760</v>
      </c>
      <c r="F37" s="69"/>
    </row>
    <row r="38" spans="1:6" ht="16.5" customHeight="1">
      <c r="A38" s="53">
        <v>33</v>
      </c>
      <c r="B38" s="53">
        <v>2934</v>
      </c>
      <c r="C38" s="73" t="s">
        <v>193</v>
      </c>
      <c r="D38" s="71" t="s">
        <v>68</v>
      </c>
      <c r="E38" s="56">
        <v>9440664462</v>
      </c>
      <c r="F38" s="69"/>
    </row>
    <row r="39" spans="1:6" ht="16.5" customHeight="1">
      <c r="A39" s="53">
        <v>34</v>
      </c>
      <c r="B39" s="53">
        <v>2965</v>
      </c>
      <c r="C39" s="12" t="s">
        <v>194</v>
      </c>
      <c r="D39" s="53" t="s">
        <v>68</v>
      </c>
      <c r="E39" s="56">
        <v>9642674547</v>
      </c>
      <c r="F39" s="69"/>
    </row>
    <row r="40" spans="1:6" ht="16.5" customHeight="1">
      <c r="A40" s="53">
        <v>35</v>
      </c>
      <c r="B40" s="53">
        <v>2977</v>
      </c>
      <c r="C40" s="12" t="s">
        <v>195</v>
      </c>
      <c r="D40" s="53" t="s">
        <v>68</v>
      </c>
      <c r="E40" s="56">
        <v>9039466727</v>
      </c>
      <c r="F40" s="69"/>
    </row>
    <row r="41" spans="1:6" ht="16.5" customHeight="1">
      <c r="A41" s="53">
        <v>36</v>
      </c>
      <c r="B41" s="53">
        <v>2984</v>
      </c>
      <c r="C41" s="78" t="s">
        <v>196</v>
      </c>
      <c r="D41" s="79" t="s">
        <v>68</v>
      </c>
      <c r="E41" s="80">
        <v>9652992125</v>
      </c>
      <c r="F41" s="381">
        <v>45777</v>
      </c>
    </row>
    <row r="42" spans="1:6" ht="16.5" customHeight="1">
      <c r="A42" s="53">
        <v>37</v>
      </c>
      <c r="B42" s="53">
        <v>2936</v>
      </c>
      <c r="C42" s="73" t="s">
        <v>197</v>
      </c>
      <c r="D42" s="71" t="s">
        <v>198</v>
      </c>
      <c r="E42" s="56">
        <v>8125544167</v>
      </c>
      <c r="F42" s="69"/>
    </row>
    <row r="43" spans="1:6" ht="16.5" customHeight="1">
      <c r="A43" s="53">
        <v>38</v>
      </c>
      <c r="B43" s="53">
        <v>2950</v>
      </c>
      <c r="C43" s="69" t="s">
        <v>199</v>
      </c>
      <c r="D43" s="71" t="s">
        <v>198</v>
      </c>
      <c r="E43" s="53">
        <v>9000024070</v>
      </c>
      <c r="F43" s="69"/>
    </row>
    <row r="44" spans="1:6" ht="16.5" customHeight="1">
      <c r="A44" s="53">
        <v>39</v>
      </c>
      <c r="B44" s="53">
        <v>633</v>
      </c>
      <c r="C44" s="54" t="s">
        <v>305</v>
      </c>
      <c r="D44" s="53" t="s">
        <v>320</v>
      </c>
      <c r="E44" s="53">
        <v>9494678628</v>
      </c>
      <c r="F44" s="69"/>
    </row>
    <row r="45" spans="1:6" ht="16.5" customHeight="1">
      <c r="A45" s="53">
        <v>40</v>
      </c>
      <c r="B45" s="53">
        <v>2285</v>
      </c>
      <c r="C45" s="54" t="s">
        <v>306</v>
      </c>
      <c r="D45" s="53" t="s">
        <v>321</v>
      </c>
      <c r="E45" s="53">
        <v>9640066261</v>
      </c>
      <c r="F45" s="69"/>
    </row>
    <row r="46" spans="1:6" ht="16.5" customHeight="1">
      <c r="A46" s="53">
        <v>41</v>
      </c>
      <c r="B46" s="53">
        <v>2826</v>
      </c>
      <c r="C46" s="55" t="s">
        <v>178</v>
      </c>
      <c r="D46" s="53" t="s">
        <v>62</v>
      </c>
      <c r="E46" s="53">
        <v>9542588470</v>
      </c>
      <c r="F46" s="69"/>
    </row>
    <row r="47" spans="1:6" ht="16.5" customHeight="1">
      <c r="A47" s="53">
        <v>42</v>
      </c>
      <c r="B47" s="53">
        <v>2925</v>
      </c>
      <c r="C47" s="12" t="s">
        <v>200</v>
      </c>
      <c r="D47" s="53" t="s">
        <v>62</v>
      </c>
      <c r="E47" s="56">
        <v>7995794652</v>
      </c>
      <c r="F47" s="69"/>
    </row>
    <row r="48" spans="1:6" ht="16.5" customHeight="1">
      <c r="A48" s="53">
        <v>43</v>
      </c>
      <c r="B48" s="53">
        <v>3038</v>
      </c>
      <c r="C48" s="69" t="s">
        <v>201</v>
      </c>
      <c r="D48" s="53" t="s">
        <v>68</v>
      </c>
      <c r="E48" s="56">
        <v>8330983764</v>
      </c>
      <c r="F48" s="69"/>
    </row>
    <row r="49" spans="1:6" ht="20.100000000000001" customHeight="1">
      <c r="A49" s="81"/>
      <c r="B49" s="81"/>
      <c r="C49" s="25"/>
      <c r="D49" s="81"/>
      <c r="E49" s="82"/>
    </row>
    <row r="50" spans="1:6" ht="20.100000000000001" customHeight="1">
      <c r="A50" s="53">
        <v>44</v>
      </c>
      <c r="B50" s="83">
        <v>30410</v>
      </c>
      <c r="C50" s="55" t="s">
        <v>304</v>
      </c>
      <c r="D50" s="53" t="s">
        <v>228</v>
      </c>
      <c r="E50" s="53">
        <v>7995622962</v>
      </c>
      <c r="F50" s="76"/>
    </row>
    <row r="51" spans="1:6" ht="20.100000000000001" customHeight="1">
      <c r="A51" s="53">
        <v>45</v>
      </c>
      <c r="B51" s="83">
        <v>30744</v>
      </c>
      <c r="C51" s="55" t="s">
        <v>308</v>
      </c>
      <c r="D51" s="53" t="s">
        <v>309</v>
      </c>
      <c r="E51" s="53">
        <v>8790500801</v>
      </c>
      <c r="F51" s="69"/>
    </row>
    <row r="52" spans="1:6" ht="20.100000000000001" customHeight="1">
      <c r="A52" s="550"/>
      <c r="B52" s="551"/>
      <c r="C52" s="551"/>
      <c r="D52" s="551"/>
      <c r="E52" s="551"/>
      <c r="F52" s="552"/>
    </row>
    <row r="53" spans="1:6" ht="20.100000000000001" customHeight="1">
      <c r="A53" s="553"/>
      <c r="B53" s="554"/>
      <c r="C53" s="554"/>
      <c r="D53" s="554"/>
      <c r="E53" s="554"/>
      <c r="F53" s="555"/>
    </row>
    <row r="54" spans="1:6" ht="20.100000000000001" customHeight="1">
      <c r="A54" s="53">
        <v>1</v>
      </c>
      <c r="B54" s="83">
        <v>30682</v>
      </c>
      <c r="C54" s="55" t="s">
        <v>186</v>
      </c>
      <c r="D54" s="53" t="s">
        <v>62</v>
      </c>
      <c r="E54" s="56">
        <v>9515188096</v>
      </c>
      <c r="F54" s="69"/>
    </row>
    <row r="55" spans="1:6" ht="20.100000000000001" customHeight="1">
      <c r="A55" s="53">
        <v>2</v>
      </c>
      <c r="B55" s="83">
        <v>30685</v>
      </c>
      <c r="C55" s="55" t="s">
        <v>187</v>
      </c>
      <c r="D55" s="53" t="s">
        <v>62</v>
      </c>
      <c r="E55" s="56">
        <v>9182032471</v>
      </c>
      <c r="F55" s="69"/>
    </row>
    <row r="56" spans="1:6" ht="20.100000000000001" customHeight="1">
      <c r="A56" s="84"/>
      <c r="E56" s="81"/>
    </row>
    <row r="57" spans="1:6" ht="20.100000000000001" customHeight="1">
      <c r="A57" s="85" t="s">
        <v>323</v>
      </c>
      <c r="B57" s="85"/>
      <c r="C57" s="85"/>
      <c r="D57" s="85"/>
      <c r="E57" s="65"/>
    </row>
    <row r="58" spans="1:6" ht="20.100000000000001" customHeight="1">
      <c r="A58" s="53">
        <v>1</v>
      </c>
      <c r="B58" s="71">
        <v>2646</v>
      </c>
      <c r="C58" s="70" t="s">
        <v>245</v>
      </c>
      <c r="D58" s="68" t="s">
        <v>267</v>
      </c>
      <c r="E58" s="53">
        <v>6300035358</v>
      </c>
    </row>
    <row r="59" spans="1:6" ht="20.100000000000001" customHeight="1">
      <c r="A59" s="53">
        <v>2</v>
      </c>
      <c r="B59" s="71">
        <v>2686</v>
      </c>
      <c r="C59" s="70" t="s">
        <v>268</v>
      </c>
      <c r="D59" s="68" t="s">
        <v>267</v>
      </c>
      <c r="E59" s="53">
        <v>8247346900</v>
      </c>
    </row>
    <row r="60" spans="1:6" ht="20.100000000000001" customHeight="1">
      <c r="A60" s="53">
        <v>3</v>
      </c>
      <c r="B60" s="71">
        <v>2614</v>
      </c>
      <c r="C60" s="70" t="s">
        <v>269</v>
      </c>
      <c r="D60" s="68" t="s">
        <v>147</v>
      </c>
      <c r="E60" s="53">
        <v>9581958972</v>
      </c>
    </row>
    <row r="61" spans="1:6" ht="20.100000000000001" customHeight="1">
      <c r="A61" s="53">
        <v>4</v>
      </c>
      <c r="B61" s="71">
        <v>2852</v>
      </c>
      <c r="C61" s="70" t="s">
        <v>205</v>
      </c>
      <c r="D61" s="68" t="s">
        <v>147</v>
      </c>
      <c r="E61" s="53">
        <v>7981683088</v>
      </c>
    </row>
    <row r="62" spans="1:6" ht="20.100000000000001" customHeight="1">
      <c r="A62" s="53">
        <v>5</v>
      </c>
      <c r="B62" s="71">
        <v>2862</v>
      </c>
      <c r="C62" s="70" t="s">
        <v>206</v>
      </c>
      <c r="D62" s="68" t="s">
        <v>147</v>
      </c>
      <c r="E62" s="53">
        <v>9966109473</v>
      </c>
    </row>
    <row r="63" spans="1:6" ht="20.100000000000001" customHeight="1">
      <c r="A63" s="53">
        <v>6</v>
      </c>
      <c r="B63" s="71">
        <v>2932</v>
      </c>
      <c r="C63" s="70" t="s">
        <v>207</v>
      </c>
      <c r="D63" s="68" t="s">
        <v>147</v>
      </c>
      <c r="E63" s="53">
        <v>7672052900</v>
      </c>
    </row>
    <row r="64" spans="1:6" ht="20.100000000000001" customHeight="1">
      <c r="A64" s="53">
        <v>7</v>
      </c>
      <c r="B64" s="71">
        <v>2935</v>
      </c>
      <c r="C64" s="70" t="s">
        <v>208</v>
      </c>
      <c r="D64" s="68" t="s">
        <v>147</v>
      </c>
      <c r="E64" s="53">
        <v>9948686959</v>
      </c>
    </row>
    <row r="65" spans="1:5" ht="20.100000000000001" customHeight="1">
      <c r="A65" s="53">
        <v>8</v>
      </c>
      <c r="B65" s="71">
        <v>2940</v>
      </c>
      <c r="C65" s="70" t="s">
        <v>209</v>
      </c>
      <c r="D65" s="68" t="s">
        <v>147</v>
      </c>
      <c r="E65" s="53">
        <v>7799595004</v>
      </c>
    </row>
    <row r="66" spans="1:5" ht="20.100000000000001" customHeight="1">
      <c r="A66" s="53">
        <v>9</v>
      </c>
      <c r="B66" s="71">
        <v>2952</v>
      </c>
      <c r="C66" s="73" t="s">
        <v>210</v>
      </c>
      <c r="D66" s="68" t="s">
        <v>147</v>
      </c>
      <c r="E66" s="53">
        <v>6302946907</v>
      </c>
    </row>
    <row r="67" spans="1:5" ht="20.100000000000001" customHeight="1">
      <c r="A67" s="53">
        <v>10</v>
      </c>
      <c r="B67" s="71">
        <v>3023</v>
      </c>
      <c r="C67" s="73" t="s">
        <v>211</v>
      </c>
      <c r="D67" s="68" t="s">
        <v>147</v>
      </c>
      <c r="E67" s="53"/>
    </row>
    <row r="68" spans="1:5" ht="20.100000000000001" customHeight="1">
      <c r="A68" s="53">
        <v>11</v>
      </c>
      <c r="B68" s="53">
        <v>3032</v>
      </c>
      <c r="C68" s="12" t="s">
        <v>212</v>
      </c>
      <c r="D68" s="68" t="s">
        <v>147</v>
      </c>
      <c r="E68" s="73">
        <v>8341287184</v>
      </c>
    </row>
    <row r="69" spans="1:5" ht="20.100000000000001" customHeight="1">
      <c r="A69" s="53">
        <v>12</v>
      </c>
      <c r="B69" s="53">
        <v>3033</v>
      </c>
      <c r="C69" s="12" t="s">
        <v>213</v>
      </c>
      <c r="D69" s="68" t="s">
        <v>147</v>
      </c>
      <c r="E69" s="73">
        <v>9569464941</v>
      </c>
    </row>
    <row r="70" spans="1:5" ht="20.100000000000001" customHeight="1"/>
    <row r="71" spans="1:5" ht="20.100000000000001" customHeight="1">
      <c r="A71" s="81"/>
      <c r="B71" s="86"/>
      <c r="C71" s="87"/>
      <c r="D71" s="88"/>
      <c r="E71" s="81"/>
    </row>
    <row r="72" spans="1:5" ht="20.100000000000001" customHeight="1">
      <c r="A72" s="87"/>
      <c r="B72" s="87"/>
      <c r="D72" s="87"/>
      <c r="E72" s="82"/>
    </row>
    <row r="73" spans="1:5" ht="20.100000000000001" customHeight="1">
      <c r="A73" s="529" t="s">
        <v>325</v>
      </c>
      <c r="B73" s="529"/>
      <c r="C73" s="529"/>
      <c r="D73" s="529"/>
      <c r="E73" s="529"/>
    </row>
    <row r="74" spans="1:5" ht="20.100000000000001" customHeight="1">
      <c r="A74" s="53">
        <v>1</v>
      </c>
      <c r="B74" s="53">
        <v>629</v>
      </c>
      <c r="C74" s="54" t="s">
        <v>248</v>
      </c>
      <c r="D74" s="53" t="s">
        <v>270</v>
      </c>
      <c r="E74" s="53">
        <v>9502200265</v>
      </c>
    </row>
    <row r="75" spans="1:5" ht="20.100000000000001" customHeight="1">
      <c r="A75" s="53">
        <v>2</v>
      </c>
      <c r="B75" s="53">
        <v>2538</v>
      </c>
      <c r="C75" s="55" t="s">
        <v>271</v>
      </c>
      <c r="D75" s="53" t="s">
        <v>270</v>
      </c>
      <c r="E75" s="53">
        <v>9848526387</v>
      </c>
    </row>
    <row r="76" spans="1:5" ht="20.100000000000001" customHeight="1">
      <c r="A76" s="53">
        <v>3</v>
      </c>
      <c r="B76" s="53">
        <v>2613</v>
      </c>
      <c r="C76" s="54" t="s">
        <v>272</v>
      </c>
      <c r="D76" s="56" t="s">
        <v>251</v>
      </c>
      <c r="E76" s="53">
        <v>9573912337</v>
      </c>
    </row>
    <row r="77" spans="1:5" ht="20.100000000000001" customHeight="1">
      <c r="A77" s="53">
        <v>4</v>
      </c>
      <c r="B77" s="53">
        <v>2700</v>
      </c>
      <c r="C77" s="54" t="s">
        <v>273</v>
      </c>
      <c r="D77" s="53" t="s">
        <v>251</v>
      </c>
      <c r="E77" s="53">
        <v>7416390127</v>
      </c>
    </row>
    <row r="78" spans="1:5" ht="20.100000000000001" customHeight="1">
      <c r="A78" s="53">
        <v>5</v>
      </c>
      <c r="B78" s="53">
        <v>2996</v>
      </c>
      <c r="C78" s="54" t="s">
        <v>346</v>
      </c>
      <c r="D78" s="53" t="s">
        <v>251</v>
      </c>
      <c r="E78" s="53">
        <v>8142888477</v>
      </c>
    </row>
    <row r="79" spans="1:5" ht="20.100000000000001" customHeight="1"/>
    <row r="80" spans="1:5" ht="20.100000000000001" customHeight="1"/>
    <row r="81" spans="3:7" ht="20.100000000000001" customHeight="1">
      <c r="G81" t="s">
        <v>379</v>
      </c>
    </row>
    <row r="82" spans="3:7" ht="20.100000000000001" customHeight="1">
      <c r="G82" t="s">
        <v>380</v>
      </c>
    </row>
    <row r="83" spans="3:7" ht="20.100000000000001" customHeight="1">
      <c r="C83" s="89" t="s">
        <v>340</v>
      </c>
      <c r="D83" s="89">
        <v>43</v>
      </c>
    </row>
    <row r="84" spans="3:7" ht="20.100000000000001" customHeight="1">
      <c r="C84" s="89" t="s">
        <v>341</v>
      </c>
      <c r="D84" s="89">
        <v>2</v>
      </c>
    </row>
    <row r="85" spans="3:7" ht="20.100000000000001" customHeight="1">
      <c r="C85" s="89" t="s">
        <v>234</v>
      </c>
      <c r="D85" s="89">
        <v>2</v>
      </c>
    </row>
    <row r="86" spans="3:7" ht="20.100000000000001" customHeight="1">
      <c r="C86" s="89" t="s">
        <v>343</v>
      </c>
      <c r="D86" s="89">
        <v>12</v>
      </c>
    </row>
    <row r="87" spans="3:7" ht="20.100000000000001" customHeight="1">
      <c r="C87" s="89" t="s">
        <v>347</v>
      </c>
      <c r="D87" s="89">
        <v>5</v>
      </c>
    </row>
    <row r="88" spans="3:7" ht="20.100000000000001" customHeight="1">
      <c r="C88" s="89"/>
      <c r="D88" s="89">
        <f>SUM(D83:D87)</f>
        <v>64</v>
      </c>
    </row>
    <row r="89" spans="3:7" ht="20.100000000000001" customHeight="1"/>
    <row r="90" spans="3:7" ht="20.100000000000001" customHeight="1">
      <c r="C90" s="90" t="s">
        <v>337</v>
      </c>
      <c r="D90" s="91" t="s">
        <v>283</v>
      </c>
    </row>
    <row r="91" spans="3:7" ht="20.100000000000001" customHeight="1"/>
  </sheetData>
  <mergeCells count="11">
    <mergeCell ref="A1:F1"/>
    <mergeCell ref="A2:F2"/>
    <mergeCell ref="A3:F3"/>
    <mergeCell ref="A73:E73"/>
    <mergeCell ref="A4:A5"/>
    <mergeCell ref="B4:B5"/>
    <mergeCell ref="C4:C5"/>
    <mergeCell ref="D4:D5"/>
    <mergeCell ref="E4:E5"/>
    <mergeCell ref="F4:F5"/>
    <mergeCell ref="A52:F53"/>
  </mergeCells>
  <conditionalFormatting sqref="B21:B22">
    <cfRule type="duplicateValues" dxfId="25" priority="2"/>
  </conditionalFormatting>
  <conditionalFormatting sqref="B24:B25">
    <cfRule type="duplicateValues" dxfId="24" priority="1"/>
  </conditionalFormatting>
  <pageMargins left="0.39370078740157499" right="0.39370078740157499" top="0.39370078740157499" bottom="0.39370078740157499" header="0.31496062992126" footer="0.31496062992126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84"/>
  <sheetViews>
    <sheetView topLeftCell="A61" zoomScale="120" zoomScaleNormal="120" workbookViewId="0">
      <selection activeCell="D55" sqref="D55"/>
    </sheetView>
  </sheetViews>
  <sheetFormatPr defaultColWidth="9.109375" defaultRowHeight="13.8"/>
  <cols>
    <col min="1" max="1" width="1.33203125" style="25" customWidth="1"/>
    <col min="2" max="2" width="6.5546875" style="25" customWidth="1"/>
    <col min="3" max="3" width="7" style="25" customWidth="1"/>
    <col min="4" max="4" width="30.109375" style="25" customWidth="1"/>
    <col min="5" max="5" width="29.6640625" style="25" customWidth="1"/>
    <col min="6" max="6" width="14.33203125" style="25" customWidth="1"/>
    <col min="7" max="7" width="16.88671875" style="26" bestFit="1" customWidth="1"/>
    <col min="8" max="8" width="12.44140625" style="25" bestFit="1" customWidth="1"/>
    <col min="9" max="9" width="16.109375" style="25" customWidth="1"/>
    <col min="10" max="16384" width="9.109375" style="25"/>
  </cols>
  <sheetData>
    <row r="1" spans="2:9" ht="20.100000000000001" customHeight="1">
      <c r="B1" s="558" t="s">
        <v>47</v>
      </c>
      <c r="C1" s="558"/>
      <c r="D1" s="558"/>
      <c r="E1" s="558"/>
      <c r="F1" s="558"/>
      <c r="G1" s="558"/>
    </row>
    <row r="2" spans="2:9" ht="20.100000000000001" customHeight="1">
      <c r="B2" s="558" t="s">
        <v>274</v>
      </c>
      <c r="C2" s="558"/>
      <c r="D2" s="558"/>
      <c r="E2" s="558"/>
      <c r="F2" s="558"/>
      <c r="G2" s="558"/>
    </row>
    <row r="3" spans="2:9" ht="15" customHeight="1">
      <c r="B3" s="558"/>
      <c r="C3" s="558"/>
      <c r="D3" s="558"/>
      <c r="E3" s="558"/>
      <c r="F3" s="558"/>
    </row>
    <row r="4" spans="2:9" ht="20.100000000000001" customHeight="1">
      <c r="B4" s="557" t="s">
        <v>1</v>
      </c>
      <c r="C4" s="557" t="s">
        <v>216</v>
      </c>
      <c r="D4" s="557" t="s">
        <v>3</v>
      </c>
      <c r="E4" s="557" t="s">
        <v>4</v>
      </c>
      <c r="F4" s="557" t="s">
        <v>8</v>
      </c>
      <c r="G4" s="544" t="s">
        <v>7</v>
      </c>
      <c r="H4" s="556" t="s">
        <v>381</v>
      </c>
    </row>
    <row r="5" spans="2:9" ht="8.25" customHeight="1">
      <c r="B5" s="557"/>
      <c r="C5" s="557"/>
      <c r="D5" s="557"/>
      <c r="E5" s="557"/>
      <c r="F5" s="557"/>
      <c r="G5" s="544"/>
      <c r="H5" s="557"/>
    </row>
    <row r="6" spans="2:9" ht="17.25" customHeight="1">
      <c r="B6" s="5">
        <v>1</v>
      </c>
      <c r="C6" s="5">
        <v>1251</v>
      </c>
      <c r="D6" s="6" t="s">
        <v>9</v>
      </c>
      <c r="E6" s="7" t="s">
        <v>257</v>
      </c>
      <c r="F6" s="7">
        <v>9840850744</v>
      </c>
      <c r="G6" s="8">
        <v>42387</v>
      </c>
      <c r="H6" s="18">
        <f ca="1">DATEDIF(G6,TODAY(),"Y")</f>
        <v>10</v>
      </c>
    </row>
    <row r="7" spans="2:9" ht="17.25" customHeight="1">
      <c r="B7" s="5">
        <v>2</v>
      </c>
      <c r="C7" s="5">
        <v>308</v>
      </c>
      <c r="D7" s="6" t="s">
        <v>299</v>
      </c>
      <c r="E7" s="7" t="s">
        <v>19</v>
      </c>
      <c r="F7" s="7">
        <v>9908823834</v>
      </c>
      <c r="G7" s="8">
        <v>39259</v>
      </c>
      <c r="H7" s="18">
        <f t="shared" ref="H7:H52" ca="1" si="0">DATEDIF(G7,TODAY(),"Y")</f>
        <v>18</v>
      </c>
      <c r="I7" s="64"/>
    </row>
    <row r="8" spans="2:9" ht="17.25" customHeight="1">
      <c r="B8" s="5">
        <v>3</v>
      </c>
      <c r="C8" s="5">
        <v>1182</v>
      </c>
      <c r="D8" s="9" t="s">
        <v>26</v>
      </c>
      <c r="E8" s="10" t="s">
        <v>258</v>
      </c>
      <c r="F8" s="7">
        <v>9676354404</v>
      </c>
      <c r="G8" s="11">
        <v>42193</v>
      </c>
      <c r="H8" s="18">
        <f t="shared" ca="1" si="0"/>
        <v>10</v>
      </c>
    </row>
    <row r="9" spans="2:9" ht="17.25" customHeight="1">
      <c r="B9" s="5">
        <v>4</v>
      </c>
      <c r="C9" s="5">
        <v>2511</v>
      </c>
      <c r="D9" s="14" t="s">
        <v>109</v>
      </c>
      <c r="E9" s="10" t="s">
        <v>180</v>
      </c>
      <c r="F9" s="5">
        <v>6379772780</v>
      </c>
      <c r="G9" s="13">
        <v>45112</v>
      </c>
      <c r="H9" s="18">
        <f t="shared" ca="1" si="0"/>
        <v>2</v>
      </c>
    </row>
    <row r="10" spans="2:9" ht="17.25" customHeight="1">
      <c r="B10" s="5">
        <v>5</v>
      </c>
      <c r="C10" s="5">
        <v>523</v>
      </c>
      <c r="D10" s="12" t="s">
        <v>382</v>
      </c>
      <c r="E10" s="10" t="s">
        <v>180</v>
      </c>
      <c r="F10" s="5">
        <v>9441536410</v>
      </c>
      <c r="G10" s="13">
        <v>45694</v>
      </c>
      <c r="H10" s="18">
        <f t="shared" ca="1" si="0"/>
        <v>1</v>
      </c>
    </row>
    <row r="11" spans="2:9" ht="17.25" customHeight="1">
      <c r="B11" s="5">
        <v>6</v>
      </c>
      <c r="C11" s="5">
        <v>2827</v>
      </c>
      <c r="D11" s="14" t="s">
        <v>279</v>
      </c>
      <c r="E11" s="10" t="s">
        <v>180</v>
      </c>
      <c r="F11" s="7">
        <v>8085575111</v>
      </c>
      <c r="G11" s="13">
        <v>45495</v>
      </c>
      <c r="H11" s="18">
        <f t="shared" ca="1" si="0"/>
        <v>1</v>
      </c>
    </row>
    <row r="12" spans="2:9">
      <c r="B12" s="5">
        <v>7</v>
      </c>
      <c r="C12" s="5">
        <v>312</v>
      </c>
      <c r="D12" s="6" t="s">
        <v>42</v>
      </c>
      <c r="E12" s="15" t="s">
        <v>383</v>
      </c>
      <c r="F12" s="7">
        <v>8297208489</v>
      </c>
      <c r="G12" s="11">
        <v>40206</v>
      </c>
      <c r="H12" s="18">
        <f t="shared" ca="1" si="0"/>
        <v>16</v>
      </c>
    </row>
    <row r="13" spans="2:9" ht="17.25" customHeight="1">
      <c r="B13" s="5">
        <v>8</v>
      </c>
      <c r="C13" s="5">
        <v>2090</v>
      </c>
      <c r="D13" s="16" t="s">
        <v>33</v>
      </c>
      <c r="E13" s="10" t="s">
        <v>383</v>
      </c>
      <c r="F13" s="7">
        <v>9441540580</v>
      </c>
      <c r="G13" s="11">
        <v>44107</v>
      </c>
      <c r="H13" s="18">
        <f t="shared" ca="1" si="0"/>
        <v>5</v>
      </c>
    </row>
    <row r="14" spans="2:9" ht="17.25" customHeight="1">
      <c r="B14" s="5">
        <v>9</v>
      </c>
      <c r="C14" s="5">
        <v>2490</v>
      </c>
      <c r="D14" s="14" t="s">
        <v>83</v>
      </c>
      <c r="E14" s="7" t="s">
        <v>157</v>
      </c>
      <c r="F14" s="5">
        <v>9848129660</v>
      </c>
      <c r="G14" s="17">
        <v>45084</v>
      </c>
      <c r="H14" s="18">
        <f t="shared" ca="1" si="0"/>
        <v>2</v>
      </c>
    </row>
    <row r="15" spans="2:9" ht="17.25" customHeight="1">
      <c r="B15" s="5">
        <v>10</v>
      </c>
      <c r="C15" s="5">
        <v>2493</v>
      </c>
      <c r="D15" s="14" t="s">
        <v>220</v>
      </c>
      <c r="E15" s="7" t="s">
        <v>157</v>
      </c>
      <c r="F15" s="5">
        <v>8940506036</v>
      </c>
      <c r="G15" s="17">
        <v>45092</v>
      </c>
      <c r="H15" s="18">
        <f t="shared" ca="1" si="0"/>
        <v>2</v>
      </c>
    </row>
    <row r="16" spans="2:9" ht="17.25" customHeight="1">
      <c r="B16" s="5">
        <v>11</v>
      </c>
      <c r="C16" s="5">
        <v>2499</v>
      </c>
      <c r="D16" s="12" t="s">
        <v>221</v>
      </c>
      <c r="E16" s="7" t="s">
        <v>157</v>
      </c>
      <c r="F16" s="5">
        <v>9994476533</v>
      </c>
      <c r="G16" s="13">
        <v>45103</v>
      </c>
      <c r="H16" s="18">
        <f t="shared" ca="1" si="0"/>
        <v>2</v>
      </c>
    </row>
    <row r="17" spans="2:8" ht="17.25" customHeight="1">
      <c r="B17" s="5">
        <v>12</v>
      </c>
      <c r="C17" s="5">
        <v>2501</v>
      </c>
      <c r="D17" s="14" t="s">
        <v>101</v>
      </c>
      <c r="E17" s="7" t="s">
        <v>157</v>
      </c>
      <c r="F17" s="5">
        <v>9848052474</v>
      </c>
      <c r="G17" s="13">
        <v>45103</v>
      </c>
      <c r="H17" s="18">
        <f t="shared" ca="1" si="0"/>
        <v>2</v>
      </c>
    </row>
    <row r="18" spans="2:8" ht="17.25" customHeight="1">
      <c r="B18" s="5">
        <v>13</v>
      </c>
      <c r="C18" s="5">
        <v>2541</v>
      </c>
      <c r="D18" s="16" t="s">
        <v>127</v>
      </c>
      <c r="E18" s="7" t="s">
        <v>157</v>
      </c>
      <c r="F18" s="5">
        <v>7981738522</v>
      </c>
      <c r="G18" s="17">
        <v>45139</v>
      </c>
      <c r="H18" s="18">
        <f t="shared" ca="1" si="0"/>
        <v>2</v>
      </c>
    </row>
    <row r="19" spans="2:8" ht="17.25" customHeight="1">
      <c r="B19" s="5">
        <v>14</v>
      </c>
      <c r="C19" s="5">
        <v>2947</v>
      </c>
      <c r="D19" s="12" t="s">
        <v>204</v>
      </c>
      <c r="E19" s="7" t="s">
        <v>157</v>
      </c>
      <c r="F19" s="5">
        <v>9032045840</v>
      </c>
      <c r="G19" s="17">
        <v>45632</v>
      </c>
      <c r="H19" s="18">
        <f t="shared" ca="1" si="0"/>
        <v>1</v>
      </c>
    </row>
    <row r="20" spans="2:8" ht="17.25" customHeight="1">
      <c r="B20" s="5">
        <v>15</v>
      </c>
      <c r="C20" s="10">
        <v>2689</v>
      </c>
      <c r="D20" s="9" t="s">
        <v>154</v>
      </c>
      <c r="E20" s="7" t="s">
        <v>157</v>
      </c>
      <c r="F20" s="18">
        <v>7006157037</v>
      </c>
      <c r="G20" s="17">
        <v>45289</v>
      </c>
      <c r="H20" s="18">
        <f t="shared" ca="1" si="0"/>
        <v>2</v>
      </c>
    </row>
    <row r="21" spans="2:8" ht="17.25" customHeight="1">
      <c r="B21" s="5">
        <v>16</v>
      </c>
      <c r="C21" s="19" t="s">
        <v>66</v>
      </c>
      <c r="D21" s="9" t="s">
        <v>67</v>
      </c>
      <c r="E21" s="10" t="s">
        <v>68</v>
      </c>
      <c r="F21" s="5">
        <v>9614547390</v>
      </c>
      <c r="G21" s="11">
        <v>45014</v>
      </c>
      <c r="H21" s="18">
        <f t="shared" ca="1" si="0"/>
        <v>3</v>
      </c>
    </row>
    <row r="22" spans="2:8" ht="17.25" customHeight="1">
      <c r="B22" s="5">
        <v>17</v>
      </c>
      <c r="C22" s="5">
        <v>2454</v>
      </c>
      <c r="D22" s="16" t="s">
        <v>318</v>
      </c>
      <c r="E22" s="10" t="s">
        <v>68</v>
      </c>
      <c r="F22" s="5">
        <v>7729990303</v>
      </c>
      <c r="G22" s="11">
        <v>45047</v>
      </c>
      <c r="H22" s="18">
        <f t="shared" ca="1" si="0"/>
        <v>2</v>
      </c>
    </row>
    <row r="23" spans="2:8" ht="17.25" customHeight="1">
      <c r="B23" s="5">
        <v>18</v>
      </c>
      <c r="C23" s="5">
        <v>2502</v>
      </c>
      <c r="D23" s="14" t="s">
        <v>359</v>
      </c>
      <c r="E23" s="10" t="s">
        <v>68</v>
      </c>
      <c r="F23" s="5">
        <v>9600605782</v>
      </c>
      <c r="G23" s="13">
        <v>45105</v>
      </c>
      <c r="H23" s="18">
        <f t="shared" ca="1" si="0"/>
        <v>2</v>
      </c>
    </row>
    <row r="24" spans="2:8" ht="17.25" customHeight="1">
      <c r="B24" s="5">
        <v>19</v>
      </c>
      <c r="C24" s="5">
        <v>2514</v>
      </c>
      <c r="D24" s="14" t="s">
        <v>113</v>
      </c>
      <c r="E24" s="10" t="s">
        <v>68</v>
      </c>
      <c r="F24" s="5">
        <v>9500312191</v>
      </c>
      <c r="G24" s="13">
        <v>45117</v>
      </c>
      <c r="H24" s="18">
        <f t="shared" ca="1" si="0"/>
        <v>2</v>
      </c>
    </row>
    <row r="25" spans="2:8" ht="17.25" customHeight="1">
      <c r="B25" s="5">
        <v>20</v>
      </c>
      <c r="C25" s="5">
        <v>2519</v>
      </c>
      <c r="D25" s="14" t="s">
        <v>120</v>
      </c>
      <c r="E25" s="10" t="s">
        <v>68</v>
      </c>
      <c r="F25" s="10">
        <v>8978116834</v>
      </c>
      <c r="G25" s="17">
        <v>45121</v>
      </c>
      <c r="H25" s="18">
        <f t="shared" ca="1" si="0"/>
        <v>2</v>
      </c>
    </row>
    <row r="26" spans="2:8" ht="17.25" customHeight="1">
      <c r="B26" s="5">
        <v>21</v>
      </c>
      <c r="C26" s="10">
        <v>2637</v>
      </c>
      <c r="D26" s="9" t="s">
        <v>261</v>
      </c>
      <c r="E26" s="10" t="s">
        <v>68</v>
      </c>
      <c r="F26" s="5">
        <v>9706631085</v>
      </c>
      <c r="G26" s="13">
        <v>45245</v>
      </c>
      <c r="H26" s="18">
        <f t="shared" ca="1" si="0"/>
        <v>2</v>
      </c>
    </row>
    <row r="27" spans="2:8" ht="17.25" customHeight="1">
      <c r="B27" s="5">
        <v>22</v>
      </c>
      <c r="C27" s="5">
        <v>2812</v>
      </c>
      <c r="D27" s="20" t="s">
        <v>301</v>
      </c>
      <c r="E27" s="10" t="s">
        <v>68</v>
      </c>
      <c r="F27" s="5">
        <v>7731063177</v>
      </c>
      <c r="G27" s="13">
        <v>45488</v>
      </c>
      <c r="H27" s="18">
        <f t="shared" ca="1" si="0"/>
        <v>1</v>
      </c>
    </row>
    <row r="28" spans="2:8" ht="17.25" customHeight="1">
      <c r="B28" s="5">
        <v>23</v>
      </c>
      <c r="C28" s="5">
        <v>2814</v>
      </c>
      <c r="D28" s="20" t="s">
        <v>327</v>
      </c>
      <c r="E28" s="10" t="s">
        <v>68</v>
      </c>
      <c r="F28" s="5">
        <v>8056033643</v>
      </c>
      <c r="G28" s="13">
        <v>45488</v>
      </c>
      <c r="H28" s="18">
        <f t="shared" ca="1" si="0"/>
        <v>1</v>
      </c>
    </row>
    <row r="29" spans="2:8" ht="17.25" customHeight="1">
      <c r="B29" s="5">
        <v>24</v>
      </c>
      <c r="C29" s="5">
        <v>2934</v>
      </c>
      <c r="D29" s="12" t="s">
        <v>193</v>
      </c>
      <c r="E29" s="10" t="s">
        <v>68</v>
      </c>
      <c r="F29" s="18">
        <v>9440664462</v>
      </c>
      <c r="G29" s="17">
        <v>45600</v>
      </c>
      <c r="H29" s="18">
        <f t="shared" ca="1" si="0"/>
        <v>1</v>
      </c>
    </row>
    <row r="30" spans="2:8" ht="17.25" customHeight="1">
      <c r="B30" s="5">
        <v>25</v>
      </c>
      <c r="C30" s="5">
        <v>540</v>
      </c>
      <c r="D30" s="6" t="s">
        <v>378</v>
      </c>
      <c r="E30" s="10" t="s">
        <v>68</v>
      </c>
      <c r="F30" s="7">
        <v>9550367172</v>
      </c>
      <c r="G30" s="11">
        <v>40032</v>
      </c>
      <c r="H30" s="18">
        <f t="shared" ca="1" si="0"/>
        <v>16</v>
      </c>
    </row>
    <row r="31" spans="2:8" ht="17.25" customHeight="1">
      <c r="B31" s="5">
        <v>26</v>
      </c>
      <c r="C31" s="5">
        <v>1181</v>
      </c>
      <c r="D31" s="9" t="s">
        <v>55</v>
      </c>
      <c r="E31" s="10" t="s">
        <v>68</v>
      </c>
      <c r="F31" s="7">
        <v>9493670612</v>
      </c>
      <c r="G31" s="11">
        <v>42193</v>
      </c>
      <c r="H31" s="18">
        <f t="shared" ca="1" si="0"/>
        <v>10</v>
      </c>
    </row>
    <row r="32" spans="2:8" ht="17.25" customHeight="1">
      <c r="B32" s="5">
        <v>27</v>
      </c>
      <c r="C32" s="5">
        <v>1243</v>
      </c>
      <c r="D32" s="9" t="s">
        <v>58</v>
      </c>
      <c r="E32" s="10" t="s">
        <v>68</v>
      </c>
      <c r="F32" s="7">
        <v>8790166779</v>
      </c>
      <c r="G32" s="11">
        <v>42354</v>
      </c>
      <c r="H32" s="18">
        <f t="shared" ca="1" si="0"/>
        <v>10</v>
      </c>
    </row>
    <row r="33" spans="2:8" ht="17.25" customHeight="1">
      <c r="B33" s="5">
        <v>28</v>
      </c>
      <c r="C33" s="5">
        <v>2432</v>
      </c>
      <c r="D33" s="16" t="s">
        <v>280</v>
      </c>
      <c r="E33" s="10" t="s">
        <v>68</v>
      </c>
      <c r="F33" s="5">
        <v>7093243607</v>
      </c>
      <c r="G33" s="13">
        <v>44982</v>
      </c>
      <c r="H33" s="18">
        <f t="shared" ca="1" si="0"/>
        <v>3</v>
      </c>
    </row>
    <row r="34" spans="2:8" ht="17.25" customHeight="1">
      <c r="B34" s="5">
        <v>29</v>
      </c>
      <c r="C34" s="5">
        <v>2728</v>
      </c>
      <c r="D34" s="14" t="s">
        <v>384</v>
      </c>
      <c r="E34" s="10" t="s">
        <v>68</v>
      </c>
      <c r="F34" s="5">
        <v>7981960066</v>
      </c>
      <c r="G34" s="13">
        <v>45385</v>
      </c>
      <c r="H34" s="18">
        <f t="shared" ca="1" si="0"/>
        <v>2</v>
      </c>
    </row>
    <row r="35" spans="2:8" ht="17.25" customHeight="1">
      <c r="B35" s="5">
        <v>30</v>
      </c>
      <c r="C35" s="5">
        <v>2765</v>
      </c>
      <c r="D35" s="16" t="s">
        <v>168</v>
      </c>
      <c r="E35" s="10" t="s">
        <v>68</v>
      </c>
      <c r="F35" s="5">
        <v>9788682940</v>
      </c>
      <c r="G35" s="17">
        <v>45453</v>
      </c>
      <c r="H35" s="18">
        <f t="shared" ca="1" si="0"/>
        <v>1</v>
      </c>
    </row>
    <row r="36" spans="2:8" ht="17.25" customHeight="1">
      <c r="B36" s="5">
        <v>31</v>
      </c>
      <c r="C36" s="5">
        <v>2512</v>
      </c>
      <c r="D36" s="16" t="s">
        <v>189</v>
      </c>
      <c r="E36" s="10" t="s">
        <v>68</v>
      </c>
      <c r="F36" s="5">
        <v>9292709507</v>
      </c>
      <c r="G36" s="23">
        <v>45117</v>
      </c>
      <c r="H36" s="18">
        <f t="shared" ca="1" si="0"/>
        <v>2</v>
      </c>
    </row>
    <row r="37" spans="2:8" ht="17.25" customHeight="1">
      <c r="B37" s="5">
        <v>32</v>
      </c>
      <c r="C37" s="5">
        <v>2898</v>
      </c>
      <c r="D37" s="12" t="s">
        <v>190</v>
      </c>
      <c r="E37" s="10" t="s">
        <v>68</v>
      </c>
      <c r="F37" s="5">
        <v>9989895732</v>
      </c>
      <c r="G37" s="17">
        <v>45531</v>
      </c>
      <c r="H37" s="18">
        <f t="shared" ca="1" si="0"/>
        <v>1</v>
      </c>
    </row>
    <row r="38" spans="2:8" ht="17.25" customHeight="1">
      <c r="B38" s="5">
        <v>33</v>
      </c>
      <c r="C38" s="5">
        <v>2921</v>
      </c>
      <c r="D38" s="12" t="s">
        <v>364</v>
      </c>
      <c r="E38" s="10" t="s">
        <v>192</v>
      </c>
      <c r="F38" s="18">
        <v>9014766760</v>
      </c>
      <c r="G38" s="17">
        <v>45580</v>
      </c>
      <c r="H38" s="18">
        <f t="shared" ca="1" si="0"/>
        <v>1</v>
      </c>
    </row>
    <row r="39" spans="2:8" ht="17.25" customHeight="1">
      <c r="B39" s="5">
        <v>34</v>
      </c>
      <c r="C39" s="5">
        <v>2965</v>
      </c>
      <c r="D39" s="12" t="s">
        <v>365</v>
      </c>
      <c r="E39" s="5" t="s">
        <v>68</v>
      </c>
      <c r="F39" s="18">
        <v>9642674547</v>
      </c>
      <c r="G39" s="17">
        <v>45663</v>
      </c>
      <c r="H39" s="18">
        <f t="shared" ca="1" si="0"/>
        <v>1</v>
      </c>
    </row>
    <row r="40" spans="2:8" ht="17.25" customHeight="1">
      <c r="B40" s="5">
        <v>35</v>
      </c>
      <c r="C40" s="5">
        <v>2977</v>
      </c>
      <c r="D40" s="12" t="s">
        <v>367</v>
      </c>
      <c r="E40" s="5" t="s">
        <v>68</v>
      </c>
      <c r="F40" s="18">
        <v>9039466727</v>
      </c>
      <c r="G40" s="17">
        <v>45675</v>
      </c>
      <c r="H40" s="18">
        <f t="shared" ca="1" si="0"/>
        <v>1</v>
      </c>
    </row>
    <row r="41" spans="2:8" ht="17.25" customHeight="1">
      <c r="B41" s="5">
        <v>36</v>
      </c>
      <c r="C41" s="5">
        <v>3038</v>
      </c>
      <c r="D41" s="12" t="s">
        <v>385</v>
      </c>
      <c r="E41" s="5" t="s">
        <v>68</v>
      </c>
      <c r="F41" s="18">
        <v>8330983764</v>
      </c>
      <c r="G41" s="17">
        <v>45742</v>
      </c>
      <c r="H41" s="18">
        <f t="shared" ca="1" si="0"/>
        <v>1</v>
      </c>
    </row>
    <row r="42" spans="2:8" ht="17.25" customHeight="1">
      <c r="B42" s="5">
        <v>37</v>
      </c>
      <c r="C42" s="5">
        <v>3073</v>
      </c>
      <c r="D42" s="12" t="s">
        <v>373</v>
      </c>
      <c r="E42" s="7" t="s">
        <v>386</v>
      </c>
      <c r="F42" s="22">
        <v>9885657789</v>
      </c>
      <c r="G42" s="17">
        <v>45600</v>
      </c>
      <c r="H42" s="18">
        <f t="shared" ca="1" si="0"/>
        <v>1</v>
      </c>
    </row>
    <row r="43" spans="2:8" ht="17.25" customHeight="1">
      <c r="B43" s="5">
        <v>38</v>
      </c>
      <c r="C43" s="5">
        <v>3080</v>
      </c>
      <c r="D43" s="58" t="s">
        <v>387</v>
      </c>
      <c r="E43" s="59" t="s">
        <v>68</v>
      </c>
      <c r="F43" s="22">
        <v>6300921477</v>
      </c>
      <c r="G43" s="17"/>
      <c r="H43" s="18"/>
    </row>
    <row r="44" spans="2:8" ht="17.25" customHeight="1">
      <c r="B44" s="5">
        <v>39</v>
      </c>
      <c r="C44" s="5">
        <v>3081</v>
      </c>
      <c r="D44" s="25" t="s">
        <v>388</v>
      </c>
      <c r="E44" s="7" t="s">
        <v>386</v>
      </c>
      <c r="F44" s="18">
        <v>7338323477</v>
      </c>
      <c r="G44" s="17"/>
      <c r="H44" s="18"/>
    </row>
    <row r="45" spans="2:8" ht="17.25" customHeight="1">
      <c r="B45" s="5">
        <v>40</v>
      </c>
      <c r="C45" s="5">
        <v>3084</v>
      </c>
      <c r="D45" s="58" t="s">
        <v>389</v>
      </c>
      <c r="E45" s="7" t="s">
        <v>386</v>
      </c>
      <c r="F45" s="22">
        <v>9492617314</v>
      </c>
      <c r="G45" s="17"/>
      <c r="H45" s="18"/>
    </row>
    <row r="46" spans="2:8" ht="17.25" customHeight="1">
      <c r="B46" s="5">
        <v>41</v>
      </c>
      <c r="C46" s="5">
        <v>2936</v>
      </c>
      <c r="D46" s="12" t="s">
        <v>197</v>
      </c>
      <c r="E46" s="10" t="s">
        <v>198</v>
      </c>
      <c r="F46" s="18">
        <v>8125544167</v>
      </c>
      <c r="G46" s="17"/>
      <c r="H46" s="18"/>
    </row>
    <row r="47" spans="2:8" ht="17.25" customHeight="1">
      <c r="B47" s="5">
        <v>42</v>
      </c>
      <c r="C47" s="5">
        <v>2950</v>
      </c>
      <c r="D47" s="12" t="s">
        <v>390</v>
      </c>
      <c r="E47" s="10" t="s">
        <v>198</v>
      </c>
      <c r="F47" s="5">
        <v>9000024070</v>
      </c>
      <c r="G47" s="17">
        <v>45638</v>
      </c>
      <c r="H47" s="18">
        <f t="shared" ca="1" si="0"/>
        <v>1</v>
      </c>
    </row>
    <row r="48" spans="2:8" ht="17.25" customHeight="1">
      <c r="B48" s="5">
        <v>43</v>
      </c>
      <c r="C48" s="5">
        <v>633</v>
      </c>
      <c r="D48" s="16" t="s">
        <v>305</v>
      </c>
      <c r="E48" s="5" t="s">
        <v>320</v>
      </c>
      <c r="F48" s="5">
        <v>9494678628</v>
      </c>
      <c r="G48" s="13">
        <v>40380</v>
      </c>
      <c r="H48" s="18">
        <f t="shared" ca="1" si="0"/>
        <v>15</v>
      </c>
    </row>
    <row r="49" spans="2:8" ht="17.25" customHeight="1">
      <c r="B49" s="5">
        <v>44</v>
      </c>
      <c r="C49" s="5">
        <v>2285</v>
      </c>
      <c r="D49" s="16" t="s">
        <v>306</v>
      </c>
      <c r="E49" s="5" t="s">
        <v>321</v>
      </c>
      <c r="F49" s="5">
        <v>9640066261</v>
      </c>
      <c r="G49" s="13">
        <v>44718</v>
      </c>
      <c r="H49" s="18">
        <f t="shared" ca="1" si="0"/>
        <v>3</v>
      </c>
    </row>
    <row r="50" spans="2:8" ht="17.25" customHeight="1">
      <c r="B50" s="5">
        <v>45</v>
      </c>
      <c r="C50" s="5">
        <v>2826</v>
      </c>
      <c r="D50" s="14" t="s">
        <v>178</v>
      </c>
      <c r="E50" s="5" t="s">
        <v>62</v>
      </c>
      <c r="F50" s="5">
        <v>9542588470</v>
      </c>
      <c r="G50" s="13">
        <v>45495</v>
      </c>
      <c r="H50" s="18">
        <f t="shared" ca="1" si="0"/>
        <v>1</v>
      </c>
    </row>
    <row r="51" spans="2:8" ht="17.25" customHeight="1">
      <c r="B51" s="5">
        <v>46</v>
      </c>
      <c r="C51" s="5">
        <v>2925</v>
      </c>
      <c r="D51" s="12" t="s">
        <v>369</v>
      </c>
      <c r="E51" s="5" t="s">
        <v>62</v>
      </c>
      <c r="F51" s="18">
        <v>7995794652</v>
      </c>
      <c r="G51" s="17">
        <v>45742</v>
      </c>
      <c r="H51" s="18">
        <f t="shared" ca="1" si="0"/>
        <v>1</v>
      </c>
    </row>
    <row r="52" spans="2:8" ht="17.25" customHeight="1">
      <c r="B52" s="5">
        <v>47</v>
      </c>
      <c r="D52" s="25" t="s">
        <v>391</v>
      </c>
      <c r="E52" s="5" t="s">
        <v>62</v>
      </c>
      <c r="F52" s="25">
        <v>8688928251</v>
      </c>
      <c r="G52" s="17">
        <v>45778</v>
      </c>
      <c r="H52" s="18">
        <f t="shared" ca="1" si="0"/>
        <v>0</v>
      </c>
    </row>
    <row r="53" spans="2:8" ht="17.25" customHeight="1">
      <c r="B53" s="5">
        <v>48</v>
      </c>
      <c r="C53" s="5">
        <v>3052</v>
      </c>
      <c r="D53" s="12" t="s">
        <v>202</v>
      </c>
      <c r="E53" s="5" t="s">
        <v>372</v>
      </c>
      <c r="F53" s="18">
        <v>7331142998</v>
      </c>
      <c r="G53" s="17"/>
      <c r="H53" s="26"/>
    </row>
    <row r="54" spans="2:8" ht="17.25" customHeight="1">
      <c r="B54" s="5">
        <v>49</v>
      </c>
      <c r="C54" s="60">
        <v>30410</v>
      </c>
      <c r="D54" s="14" t="s">
        <v>304</v>
      </c>
      <c r="E54" s="5" t="s">
        <v>228</v>
      </c>
      <c r="F54" s="5">
        <v>7995622962</v>
      </c>
      <c r="G54" s="61">
        <v>44928</v>
      </c>
      <c r="H54" s="26">
        <f ca="1">DATEDIF(G54,TODAY(),"y")</f>
        <v>3</v>
      </c>
    </row>
    <row r="55" spans="2:8" ht="17.25" customHeight="1">
      <c r="B55" s="5">
        <v>50</v>
      </c>
      <c r="C55" s="60">
        <v>30744</v>
      </c>
      <c r="D55" s="14" t="s">
        <v>308</v>
      </c>
      <c r="E55" s="5" t="s">
        <v>309</v>
      </c>
      <c r="F55" s="5">
        <v>8790500801</v>
      </c>
      <c r="G55" s="62">
        <v>45071</v>
      </c>
      <c r="H55" s="26">
        <f ca="1">DATEDIF(G55,TODAY(),"y")</f>
        <v>2</v>
      </c>
    </row>
    <row r="56" spans="2:8" ht="17.25" customHeight="1">
      <c r="G56" s="34"/>
    </row>
    <row r="57" spans="2:8" ht="16.5" customHeight="1">
      <c r="B57" s="5">
        <v>1</v>
      </c>
      <c r="C57" s="60">
        <v>30682</v>
      </c>
      <c r="D57" s="14" t="s">
        <v>314</v>
      </c>
      <c r="E57" s="5" t="s">
        <v>62</v>
      </c>
      <c r="F57" s="18">
        <v>9515188096</v>
      </c>
    </row>
    <row r="58" spans="2:8" ht="20.25" customHeight="1">
      <c r="B58" s="5">
        <v>2</v>
      </c>
      <c r="C58" s="60">
        <v>30685</v>
      </c>
      <c r="D58" s="14" t="s">
        <v>187</v>
      </c>
      <c r="E58" s="5" t="s">
        <v>62</v>
      </c>
      <c r="F58" s="18">
        <v>9182032471</v>
      </c>
    </row>
    <row r="60" spans="2:8">
      <c r="B60" s="39" t="s">
        <v>323</v>
      </c>
      <c r="C60" s="39"/>
      <c r="D60" s="39"/>
      <c r="E60" s="39"/>
      <c r="F60" s="40"/>
    </row>
    <row r="61" spans="2:8">
      <c r="B61" s="39"/>
      <c r="C61" s="39"/>
      <c r="D61" s="39"/>
      <c r="E61" s="39"/>
      <c r="F61" s="40"/>
    </row>
    <row r="62" spans="2:8" ht="14.4">
      <c r="B62" s="5">
        <v>1</v>
      </c>
      <c r="C62" s="10">
        <v>2646</v>
      </c>
      <c r="D62" s="9" t="s">
        <v>245</v>
      </c>
      <c r="E62" s="7" t="s">
        <v>267</v>
      </c>
      <c r="F62" s="5">
        <v>6300035358</v>
      </c>
      <c r="G62" s="63">
        <v>45253</v>
      </c>
      <c r="H62" s="25">
        <f ca="1">DATEDIF(G62,TODAY(),"y")</f>
        <v>2</v>
      </c>
    </row>
    <row r="63" spans="2:8" ht="14.4">
      <c r="B63" s="5">
        <v>2</v>
      </c>
      <c r="C63" s="10">
        <v>2686</v>
      </c>
      <c r="D63" s="9" t="s">
        <v>268</v>
      </c>
      <c r="E63" s="7" t="s">
        <v>267</v>
      </c>
      <c r="F63" s="5">
        <v>8247346900</v>
      </c>
      <c r="G63" s="63">
        <v>45282</v>
      </c>
      <c r="H63" s="25">
        <f t="shared" ref="H63:H73" ca="1" si="1">DATEDIF(G63,TODAY(),"y")</f>
        <v>2</v>
      </c>
    </row>
    <row r="64" spans="2:8" ht="14.4">
      <c r="B64" s="5">
        <v>3</v>
      </c>
      <c r="C64" s="10">
        <v>2614</v>
      </c>
      <c r="D64" s="9" t="s">
        <v>269</v>
      </c>
      <c r="E64" s="7" t="s">
        <v>147</v>
      </c>
      <c r="F64" s="5">
        <v>9581958972</v>
      </c>
      <c r="G64" s="63">
        <v>45198</v>
      </c>
      <c r="H64" s="25">
        <f t="shared" ca="1" si="1"/>
        <v>2</v>
      </c>
    </row>
    <row r="65" spans="2:8" ht="14.4">
      <c r="B65" s="5">
        <v>4</v>
      </c>
      <c r="C65" s="10">
        <v>2852</v>
      </c>
      <c r="D65" s="9" t="s">
        <v>205</v>
      </c>
      <c r="E65" s="7" t="s">
        <v>147</v>
      </c>
      <c r="F65" s="5">
        <v>7981683088</v>
      </c>
      <c r="G65" s="63">
        <v>45513</v>
      </c>
      <c r="H65" s="25">
        <f t="shared" ca="1" si="1"/>
        <v>1</v>
      </c>
    </row>
    <row r="66" spans="2:8" ht="14.4">
      <c r="B66" s="5">
        <v>5</v>
      </c>
      <c r="C66" s="10">
        <v>2862</v>
      </c>
      <c r="D66" s="9" t="s">
        <v>206</v>
      </c>
      <c r="E66" s="7" t="s">
        <v>147</v>
      </c>
      <c r="F66" s="5">
        <v>9966109473</v>
      </c>
      <c r="G66" s="63">
        <v>45517</v>
      </c>
      <c r="H66" s="25">
        <f t="shared" ca="1" si="1"/>
        <v>1</v>
      </c>
    </row>
    <row r="67" spans="2:8" ht="14.4">
      <c r="B67" s="5">
        <v>6</v>
      </c>
      <c r="C67" s="10">
        <v>2932</v>
      </c>
      <c r="D67" s="9" t="s">
        <v>207</v>
      </c>
      <c r="E67" s="7" t="s">
        <v>147</v>
      </c>
      <c r="F67" s="5">
        <v>7672052900</v>
      </c>
      <c r="G67" s="63">
        <v>45597</v>
      </c>
      <c r="H67" s="25">
        <f t="shared" ca="1" si="1"/>
        <v>1</v>
      </c>
    </row>
    <row r="68" spans="2:8" ht="14.4">
      <c r="B68" s="5">
        <v>7</v>
      </c>
      <c r="C68" s="10">
        <v>2935</v>
      </c>
      <c r="D68" s="9" t="s">
        <v>208</v>
      </c>
      <c r="E68" s="7" t="s">
        <v>147</v>
      </c>
      <c r="F68" s="5">
        <v>9948686959</v>
      </c>
      <c r="G68" s="63">
        <v>45600</v>
      </c>
      <c r="H68" s="25">
        <f t="shared" ca="1" si="1"/>
        <v>1</v>
      </c>
    </row>
    <row r="69" spans="2:8" ht="14.4">
      <c r="B69" s="5">
        <v>8</v>
      </c>
      <c r="C69" s="10">
        <v>2940</v>
      </c>
      <c r="D69" s="9" t="s">
        <v>209</v>
      </c>
      <c r="E69" s="7" t="s">
        <v>147</v>
      </c>
      <c r="F69" s="5">
        <v>7799595004</v>
      </c>
      <c r="G69" s="63">
        <v>45610</v>
      </c>
      <c r="H69" s="25">
        <f t="shared" ca="1" si="1"/>
        <v>1</v>
      </c>
    </row>
    <row r="70" spans="2:8" ht="14.4">
      <c r="B70" s="5">
        <v>9</v>
      </c>
      <c r="C70" s="10">
        <v>2952</v>
      </c>
      <c r="D70" s="12" t="s">
        <v>210</v>
      </c>
      <c r="E70" s="7" t="s">
        <v>147</v>
      </c>
      <c r="F70" s="5">
        <v>6302946907</v>
      </c>
      <c r="G70" s="63">
        <v>45639</v>
      </c>
      <c r="H70" s="25">
        <f t="shared" ca="1" si="1"/>
        <v>1</v>
      </c>
    </row>
    <row r="71" spans="2:8" ht="14.4">
      <c r="B71" s="5">
        <v>10</v>
      </c>
      <c r="C71" s="10">
        <v>3023</v>
      </c>
      <c r="D71" s="12" t="s">
        <v>211</v>
      </c>
      <c r="E71" s="7" t="s">
        <v>147</v>
      </c>
      <c r="F71" s="5"/>
      <c r="G71" s="63">
        <v>45726</v>
      </c>
      <c r="H71" s="25">
        <f t="shared" ca="1" si="1"/>
        <v>1</v>
      </c>
    </row>
    <row r="72" spans="2:8" ht="14.4">
      <c r="B72" s="5">
        <v>11</v>
      </c>
      <c r="C72" s="5">
        <v>3032</v>
      </c>
      <c r="D72" s="12" t="s">
        <v>212</v>
      </c>
      <c r="E72" s="7" t="s">
        <v>147</v>
      </c>
      <c r="F72" s="12">
        <v>8341287184</v>
      </c>
      <c r="G72" s="63">
        <v>45731</v>
      </c>
      <c r="H72" s="25">
        <f t="shared" ca="1" si="1"/>
        <v>1</v>
      </c>
    </row>
    <row r="73" spans="2:8" ht="14.4">
      <c r="B73" s="5">
        <v>12</v>
      </c>
      <c r="C73" s="5">
        <v>3033</v>
      </c>
      <c r="D73" s="12" t="s">
        <v>213</v>
      </c>
      <c r="E73" s="7" t="s">
        <v>147</v>
      </c>
      <c r="F73" s="12">
        <v>9569464941</v>
      </c>
      <c r="G73" s="63">
        <v>45733</v>
      </c>
      <c r="H73" s="25">
        <f t="shared" ca="1" si="1"/>
        <v>1</v>
      </c>
    </row>
    <row r="76" spans="2:8">
      <c r="D76" s="57" t="s">
        <v>340</v>
      </c>
      <c r="E76" s="57">
        <v>42</v>
      </c>
    </row>
    <row r="77" spans="2:8">
      <c r="D77" s="57" t="s">
        <v>341</v>
      </c>
      <c r="E77" s="57">
        <v>2</v>
      </c>
    </row>
    <row r="78" spans="2:8">
      <c r="D78" s="57" t="s">
        <v>234</v>
      </c>
      <c r="E78" s="57">
        <v>6</v>
      </c>
    </row>
    <row r="79" spans="2:8">
      <c r="D79" s="57" t="s">
        <v>392</v>
      </c>
      <c r="E79" s="57">
        <v>2</v>
      </c>
    </row>
    <row r="80" spans="2:8">
      <c r="D80" s="57" t="s">
        <v>343</v>
      </c>
      <c r="E80" s="57">
        <v>12</v>
      </c>
    </row>
    <row r="81" spans="4:5">
      <c r="D81" s="57" t="s">
        <v>347</v>
      </c>
      <c r="E81" s="57">
        <v>5</v>
      </c>
    </row>
    <row r="82" spans="4:5" ht="20.100000000000001" customHeight="1">
      <c r="D82" s="57"/>
      <c r="E82" s="57">
        <f>SUM(E76:E81)</f>
        <v>69</v>
      </c>
    </row>
    <row r="84" spans="4:5">
      <c r="D84" s="14" t="s">
        <v>337</v>
      </c>
      <c r="E84" s="5" t="s">
        <v>283</v>
      </c>
    </row>
  </sheetData>
  <mergeCells count="10">
    <mergeCell ref="H4:H5"/>
    <mergeCell ref="B1:G1"/>
    <mergeCell ref="B2:G2"/>
    <mergeCell ref="B3:F3"/>
    <mergeCell ref="B4:B5"/>
    <mergeCell ref="C4:C5"/>
    <mergeCell ref="D4:D5"/>
    <mergeCell ref="E4:E5"/>
    <mergeCell ref="F4:F5"/>
    <mergeCell ref="G4:G5"/>
  </mergeCells>
  <conditionalFormatting sqref="C21:C22">
    <cfRule type="duplicateValues" dxfId="23" priority="3"/>
  </conditionalFormatting>
  <conditionalFormatting sqref="C31:C32">
    <cfRule type="duplicateValues" dxfId="22" priority="4"/>
  </conditionalFormatting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9"/>
  <sheetViews>
    <sheetView topLeftCell="A46" workbookViewId="0">
      <selection activeCell="C51" sqref="C51"/>
    </sheetView>
  </sheetViews>
  <sheetFormatPr defaultColWidth="9" defaultRowHeight="14.4"/>
  <cols>
    <col min="1" max="1" width="4.88671875" customWidth="1"/>
    <col min="2" max="2" width="8" customWidth="1"/>
    <col min="3" max="3" width="27.33203125" customWidth="1"/>
    <col min="4" max="4" width="29" customWidth="1"/>
    <col min="5" max="5" width="14.33203125" style="1" bestFit="1" customWidth="1"/>
    <col min="6" max="6" width="12.44140625" bestFit="1" customWidth="1"/>
    <col min="7" max="7" width="16.88671875" customWidth="1"/>
  </cols>
  <sheetData>
    <row r="1" spans="1:7" ht="15.75" customHeight="1">
      <c r="A1" s="558" t="s">
        <v>47</v>
      </c>
      <c r="B1" s="558"/>
      <c r="C1" s="558"/>
      <c r="D1" s="558"/>
      <c r="E1" s="558"/>
      <c r="F1" s="558"/>
      <c r="G1" s="558"/>
    </row>
    <row r="2" spans="1:7" ht="17.25" customHeight="1">
      <c r="A2" s="558" t="s">
        <v>274</v>
      </c>
      <c r="B2" s="558"/>
      <c r="C2" s="558"/>
      <c r="D2" s="558"/>
      <c r="E2" s="558"/>
      <c r="F2" s="558"/>
      <c r="G2" s="558"/>
    </row>
    <row r="3" spans="1:7" ht="20.100000000000001" customHeight="1">
      <c r="A3" s="558" t="s">
        <v>393</v>
      </c>
      <c r="B3" s="558"/>
      <c r="C3" s="558"/>
      <c r="D3" s="558"/>
      <c r="E3" s="558"/>
      <c r="F3" s="558"/>
      <c r="G3" s="558"/>
    </row>
    <row r="4" spans="1:7" ht="20.100000000000001" customHeight="1">
      <c r="A4" s="2" t="s">
        <v>1</v>
      </c>
      <c r="B4" s="2" t="s">
        <v>216</v>
      </c>
      <c r="C4" s="2" t="s">
        <v>3</v>
      </c>
      <c r="D4" s="2" t="s">
        <v>4</v>
      </c>
      <c r="E4" s="2" t="s">
        <v>8</v>
      </c>
      <c r="F4" s="3" t="s">
        <v>394</v>
      </c>
      <c r="G4" s="4" t="s">
        <v>395</v>
      </c>
    </row>
    <row r="5" spans="1:7" ht="20.100000000000001" customHeight="1">
      <c r="A5" s="5">
        <v>1</v>
      </c>
      <c r="B5" s="5">
        <v>1251</v>
      </c>
      <c r="C5" s="6" t="s">
        <v>9</v>
      </c>
      <c r="D5" s="7" t="s">
        <v>257</v>
      </c>
      <c r="E5" s="7">
        <v>9840850744</v>
      </c>
      <c r="F5" s="8">
        <v>42387</v>
      </c>
      <c r="G5" s="123">
        <f ca="1">DATEDIF(F5,TODAY(),"y")</f>
        <v>10</v>
      </c>
    </row>
    <row r="6" spans="1:7" ht="20.100000000000001" customHeight="1">
      <c r="A6" s="5">
        <v>2</v>
      </c>
      <c r="B6" s="5">
        <v>308</v>
      </c>
      <c r="C6" s="6" t="s">
        <v>299</v>
      </c>
      <c r="D6" s="7" t="s">
        <v>19</v>
      </c>
      <c r="E6" s="7">
        <v>9908823834</v>
      </c>
      <c r="F6" s="8">
        <v>39259</v>
      </c>
      <c r="G6" s="123">
        <f t="shared" ref="G6:G51" ca="1" si="0">DATEDIF(F6,TODAY(),"y")</f>
        <v>18</v>
      </c>
    </row>
    <row r="7" spans="1:7" ht="20.100000000000001" customHeight="1">
      <c r="A7" s="5">
        <v>3</v>
      </c>
      <c r="B7" s="5">
        <v>1182</v>
      </c>
      <c r="C7" s="9" t="s">
        <v>26</v>
      </c>
      <c r="D7" s="10" t="s">
        <v>396</v>
      </c>
      <c r="E7" s="7">
        <v>9676354404</v>
      </c>
      <c r="F7" s="11">
        <v>42193</v>
      </c>
      <c r="G7" s="123">
        <f t="shared" ca="1" si="0"/>
        <v>10</v>
      </c>
    </row>
    <row r="8" spans="1:7" ht="20.100000000000001" customHeight="1">
      <c r="A8" s="5">
        <v>4</v>
      </c>
      <c r="B8" s="5">
        <v>523</v>
      </c>
      <c r="C8" s="12" t="s">
        <v>382</v>
      </c>
      <c r="D8" s="10" t="s">
        <v>180</v>
      </c>
      <c r="E8" s="5">
        <v>9441536410</v>
      </c>
      <c r="F8" s="13">
        <v>45694</v>
      </c>
      <c r="G8" s="123">
        <f t="shared" ca="1" si="0"/>
        <v>1</v>
      </c>
    </row>
    <row r="9" spans="1:7" ht="20.100000000000001" customHeight="1">
      <c r="A9" s="5">
        <v>5</v>
      </c>
      <c r="B9" s="5">
        <v>2827</v>
      </c>
      <c r="C9" s="14" t="s">
        <v>279</v>
      </c>
      <c r="D9" s="10" t="s">
        <v>180</v>
      </c>
      <c r="E9" s="7">
        <v>8085575111</v>
      </c>
      <c r="F9" s="13">
        <v>45495</v>
      </c>
      <c r="G9" s="123">
        <f t="shared" ca="1" si="0"/>
        <v>1</v>
      </c>
    </row>
    <row r="10" spans="1:7" ht="20.100000000000001" customHeight="1">
      <c r="A10" s="5">
        <v>6</v>
      </c>
      <c r="B10" s="5">
        <v>312</v>
      </c>
      <c r="C10" s="6" t="s">
        <v>42</v>
      </c>
      <c r="D10" s="15" t="s">
        <v>383</v>
      </c>
      <c r="E10" s="7">
        <v>8297208489</v>
      </c>
      <c r="F10" s="11">
        <v>40206</v>
      </c>
      <c r="G10" s="123">
        <f t="shared" ca="1" si="0"/>
        <v>16</v>
      </c>
    </row>
    <row r="11" spans="1:7" ht="19.5" customHeight="1">
      <c r="A11" s="5">
        <v>7</v>
      </c>
      <c r="B11" s="5">
        <v>2090</v>
      </c>
      <c r="C11" s="16" t="s">
        <v>33</v>
      </c>
      <c r="D11" s="10" t="s">
        <v>383</v>
      </c>
      <c r="E11" s="7">
        <v>9441540580</v>
      </c>
      <c r="F11" s="11">
        <v>44107</v>
      </c>
      <c r="G11" s="123">
        <f t="shared" ca="1" si="0"/>
        <v>5</v>
      </c>
    </row>
    <row r="12" spans="1:7" ht="20.100000000000001" customHeight="1">
      <c r="A12" s="5">
        <v>8</v>
      </c>
      <c r="B12" s="5">
        <v>2490</v>
      </c>
      <c r="C12" s="14" t="s">
        <v>83</v>
      </c>
      <c r="D12" s="7" t="s">
        <v>157</v>
      </c>
      <c r="E12" s="5">
        <v>9848129660</v>
      </c>
      <c r="F12" s="17">
        <v>45084</v>
      </c>
      <c r="G12" s="123">
        <f t="shared" ca="1" si="0"/>
        <v>2</v>
      </c>
    </row>
    <row r="13" spans="1:7" ht="20.100000000000001" customHeight="1">
      <c r="A13" s="5">
        <v>9</v>
      </c>
      <c r="B13" s="5">
        <v>2493</v>
      </c>
      <c r="C13" s="14" t="s">
        <v>220</v>
      </c>
      <c r="D13" s="7" t="s">
        <v>157</v>
      </c>
      <c r="E13" s="5">
        <v>8940506036</v>
      </c>
      <c r="F13" s="17">
        <v>45092</v>
      </c>
      <c r="G13" s="123">
        <f t="shared" ca="1" si="0"/>
        <v>2</v>
      </c>
    </row>
    <row r="14" spans="1:7" ht="20.100000000000001" customHeight="1">
      <c r="A14" s="5">
        <v>10</v>
      </c>
      <c r="B14" s="5">
        <v>2499</v>
      </c>
      <c r="C14" s="12" t="s">
        <v>221</v>
      </c>
      <c r="D14" s="7" t="s">
        <v>157</v>
      </c>
      <c r="E14" s="5">
        <v>9994476533</v>
      </c>
      <c r="F14" s="13">
        <v>45103</v>
      </c>
      <c r="G14" s="123">
        <f t="shared" ca="1" si="0"/>
        <v>2</v>
      </c>
    </row>
    <row r="15" spans="1:7" ht="20.100000000000001" customHeight="1">
      <c r="A15" s="5">
        <v>11</v>
      </c>
      <c r="B15" s="5">
        <v>2501</v>
      </c>
      <c r="C15" s="14" t="s">
        <v>101</v>
      </c>
      <c r="D15" s="7" t="s">
        <v>157</v>
      </c>
      <c r="E15" s="5">
        <v>9848052474</v>
      </c>
      <c r="F15" s="13">
        <v>45103</v>
      </c>
      <c r="G15" s="123">
        <f t="shared" ca="1" si="0"/>
        <v>2</v>
      </c>
    </row>
    <row r="16" spans="1:7" ht="20.100000000000001" customHeight="1">
      <c r="A16" s="5">
        <v>12</v>
      </c>
      <c r="B16" s="5">
        <v>2541</v>
      </c>
      <c r="C16" s="16" t="s">
        <v>127</v>
      </c>
      <c r="D16" s="7" t="s">
        <v>157</v>
      </c>
      <c r="E16" s="5">
        <v>7981738522</v>
      </c>
      <c r="F16" s="17">
        <v>45139</v>
      </c>
      <c r="G16" s="123">
        <f t="shared" ca="1" si="0"/>
        <v>2</v>
      </c>
    </row>
    <row r="17" spans="1:7" ht="20.100000000000001" customHeight="1">
      <c r="A17" s="5">
        <v>13</v>
      </c>
      <c r="B17" s="10">
        <v>2689</v>
      </c>
      <c r="C17" s="9" t="s">
        <v>154</v>
      </c>
      <c r="D17" s="7" t="s">
        <v>157</v>
      </c>
      <c r="E17" s="18">
        <v>7006157037</v>
      </c>
      <c r="F17" s="17">
        <v>45289</v>
      </c>
      <c r="G17" s="123">
        <f t="shared" ca="1" si="0"/>
        <v>2</v>
      </c>
    </row>
    <row r="18" spans="1:7" ht="20.100000000000001" customHeight="1">
      <c r="A18" s="5">
        <v>14</v>
      </c>
      <c r="B18" s="5">
        <v>2947</v>
      </c>
      <c r="C18" s="12" t="s">
        <v>204</v>
      </c>
      <c r="D18" s="7" t="s">
        <v>157</v>
      </c>
      <c r="E18" s="5">
        <v>9032045840</v>
      </c>
      <c r="F18" s="17">
        <v>45632</v>
      </c>
      <c r="G18" s="123">
        <f t="shared" ca="1" si="0"/>
        <v>1</v>
      </c>
    </row>
    <row r="19" spans="1:7" ht="20.100000000000001" customHeight="1">
      <c r="A19" s="5">
        <v>15</v>
      </c>
      <c r="B19" s="5">
        <v>540</v>
      </c>
      <c r="C19" s="6" t="s">
        <v>378</v>
      </c>
      <c r="D19" s="10" t="s">
        <v>68</v>
      </c>
      <c r="E19" s="7">
        <v>9550367172</v>
      </c>
      <c r="F19" s="11">
        <v>40032</v>
      </c>
      <c r="G19" s="123">
        <f t="shared" ca="1" si="0"/>
        <v>16</v>
      </c>
    </row>
    <row r="20" spans="1:7" ht="20.100000000000001" customHeight="1">
      <c r="A20" s="5">
        <v>16</v>
      </c>
      <c r="B20" s="19" t="s">
        <v>397</v>
      </c>
      <c r="C20" s="9" t="s">
        <v>67</v>
      </c>
      <c r="D20" s="10" t="s">
        <v>68</v>
      </c>
      <c r="E20" s="5">
        <v>9614547390</v>
      </c>
      <c r="F20" s="11">
        <v>45014</v>
      </c>
      <c r="G20" s="123">
        <f t="shared" ca="1" si="0"/>
        <v>3</v>
      </c>
    </row>
    <row r="21" spans="1:7" ht="20.100000000000001" customHeight="1">
      <c r="A21" s="5">
        <v>17</v>
      </c>
      <c r="B21" s="5">
        <v>2454</v>
      </c>
      <c r="C21" s="16" t="s">
        <v>318</v>
      </c>
      <c r="D21" s="10" t="s">
        <v>68</v>
      </c>
      <c r="E21" s="5">
        <v>7729990303</v>
      </c>
      <c r="F21" s="11">
        <v>45047</v>
      </c>
      <c r="G21" s="123">
        <f t="shared" ca="1" si="0"/>
        <v>2</v>
      </c>
    </row>
    <row r="22" spans="1:7" ht="20.100000000000001" customHeight="1">
      <c r="A22" s="5">
        <v>18</v>
      </c>
      <c r="B22" s="5">
        <v>2502</v>
      </c>
      <c r="C22" s="14" t="s">
        <v>359</v>
      </c>
      <c r="D22" s="10" t="s">
        <v>68</v>
      </c>
      <c r="E22" s="5">
        <v>9600605782</v>
      </c>
      <c r="F22" s="13">
        <v>45105</v>
      </c>
      <c r="G22" s="123">
        <f t="shared" ca="1" si="0"/>
        <v>2</v>
      </c>
    </row>
    <row r="23" spans="1:7" ht="20.100000000000001" customHeight="1">
      <c r="A23" s="5">
        <v>19</v>
      </c>
      <c r="B23" s="5">
        <v>2514</v>
      </c>
      <c r="C23" s="14" t="s">
        <v>113</v>
      </c>
      <c r="D23" s="10" t="s">
        <v>68</v>
      </c>
      <c r="E23" s="5">
        <v>9500312191</v>
      </c>
      <c r="F23" s="13">
        <v>45117</v>
      </c>
      <c r="G23" s="123">
        <f t="shared" ca="1" si="0"/>
        <v>2</v>
      </c>
    </row>
    <row r="24" spans="1:7" ht="20.100000000000001" customHeight="1">
      <c r="A24" s="5">
        <v>20</v>
      </c>
      <c r="B24" s="5">
        <v>2519</v>
      </c>
      <c r="C24" s="14" t="s">
        <v>120</v>
      </c>
      <c r="D24" s="10" t="s">
        <v>68</v>
      </c>
      <c r="E24" s="10">
        <v>8978116834</v>
      </c>
      <c r="F24" s="17">
        <v>45121</v>
      </c>
      <c r="G24" s="123">
        <f t="shared" ca="1" si="0"/>
        <v>2</v>
      </c>
    </row>
    <row r="25" spans="1:7" ht="20.100000000000001" customHeight="1">
      <c r="A25" s="5">
        <v>21</v>
      </c>
      <c r="B25" s="10">
        <v>2637</v>
      </c>
      <c r="C25" s="9" t="s">
        <v>261</v>
      </c>
      <c r="D25" s="10" t="s">
        <v>68</v>
      </c>
      <c r="E25" s="5">
        <v>9706631085</v>
      </c>
      <c r="F25" s="13">
        <v>45245</v>
      </c>
      <c r="G25" s="123">
        <f t="shared" ca="1" si="0"/>
        <v>2</v>
      </c>
    </row>
    <row r="26" spans="1:7" ht="20.100000000000001" customHeight="1">
      <c r="A26" s="5">
        <v>22</v>
      </c>
      <c r="B26" s="5">
        <v>2812</v>
      </c>
      <c r="C26" s="20" t="s">
        <v>301</v>
      </c>
      <c r="D26" s="10" t="s">
        <v>68</v>
      </c>
      <c r="E26" s="5">
        <v>7731063177</v>
      </c>
      <c r="F26" s="13">
        <v>45488</v>
      </c>
      <c r="G26" s="123">
        <f t="shared" ca="1" si="0"/>
        <v>1</v>
      </c>
    </row>
    <row r="27" spans="1:7" ht="20.100000000000001" customHeight="1">
      <c r="A27" s="5">
        <v>23</v>
      </c>
      <c r="B27" s="5">
        <v>2814</v>
      </c>
      <c r="C27" s="20" t="s">
        <v>327</v>
      </c>
      <c r="D27" s="10" t="s">
        <v>68</v>
      </c>
      <c r="E27" s="5">
        <v>8056033643</v>
      </c>
      <c r="F27" s="13">
        <v>45488</v>
      </c>
      <c r="G27" s="123">
        <f t="shared" ca="1" si="0"/>
        <v>1</v>
      </c>
    </row>
    <row r="28" spans="1:7" ht="20.100000000000001" customHeight="1">
      <c r="A28" s="5">
        <v>24</v>
      </c>
      <c r="B28" s="5">
        <v>2934</v>
      </c>
      <c r="C28" s="12" t="s">
        <v>193</v>
      </c>
      <c r="D28" s="10" t="s">
        <v>68</v>
      </c>
      <c r="E28" s="18">
        <v>9440664462</v>
      </c>
      <c r="F28" s="17">
        <v>45600</v>
      </c>
      <c r="G28" s="123">
        <f t="shared" ca="1" si="0"/>
        <v>1</v>
      </c>
    </row>
    <row r="29" spans="1:7" ht="20.100000000000001" customHeight="1">
      <c r="A29" s="5">
        <v>25</v>
      </c>
      <c r="B29" s="5">
        <v>3080</v>
      </c>
      <c r="C29" s="21" t="s">
        <v>398</v>
      </c>
      <c r="D29" s="10" t="s">
        <v>68</v>
      </c>
      <c r="E29" s="22">
        <v>6300921477</v>
      </c>
      <c r="F29" s="17" t="s">
        <v>399</v>
      </c>
      <c r="G29" s="123" t="e">
        <f t="shared" ca="1" si="0"/>
        <v>#VALUE!</v>
      </c>
    </row>
    <row r="30" spans="1:7" ht="20.100000000000001" customHeight="1">
      <c r="A30" s="5">
        <v>26</v>
      </c>
      <c r="B30" s="5">
        <v>1181</v>
      </c>
      <c r="C30" s="9" t="s">
        <v>55</v>
      </c>
      <c r="D30" s="10" t="s">
        <v>68</v>
      </c>
      <c r="E30" s="7">
        <v>9493670612</v>
      </c>
      <c r="F30" s="11">
        <v>42193</v>
      </c>
      <c r="G30" s="123">
        <f t="shared" ca="1" si="0"/>
        <v>10</v>
      </c>
    </row>
    <row r="31" spans="1:7" ht="20.100000000000001" customHeight="1">
      <c r="A31" s="5">
        <v>27</v>
      </c>
      <c r="B31" s="5">
        <v>1243</v>
      </c>
      <c r="C31" s="9" t="s">
        <v>58</v>
      </c>
      <c r="D31" s="10" t="s">
        <v>68</v>
      </c>
      <c r="E31" s="7">
        <v>8790166779</v>
      </c>
      <c r="F31" s="11">
        <v>42354</v>
      </c>
      <c r="G31" s="123">
        <f t="shared" ca="1" si="0"/>
        <v>10</v>
      </c>
    </row>
    <row r="32" spans="1:7" ht="20.100000000000001" customHeight="1">
      <c r="A32" s="5">
        <v>28</v>
      </c>
      <c r="B32" s="5">
        <v>2432</v>
      </c>
      <c r="C32" s="16" t="s">
        <v>280</v>
      </c>
      <c r="D32" s="10" t="s">
        <v>68</v>
      </c>
      <c r="E32" s="5">
        <v>7093243607</v>
      </c>
      <c r="F32" s="13">
        <v>44982</v>
      </c>
      <c r="G32" s="123">
        <f t="shared" ca="1" si="0"/>
        <v>3</v>
      </c>
    </row>
    <row r="33" spans="1:7" ht="20.100000000000001" customHeight="1">
      <c r="A33" s="5">
        <v>29</v>
      </c>
      <c r="B33" s="5">
        <v>2728</v>
      </c>
      <c r="C33" s="14" t="s">
        <v>384</v>
      </c>
      <c r="D33" s="10" t="s">
        <v>68</v>
      </c>
      <c r="E33" s="5">
        <v>7981960066</v>
      </c>
      <c r="F33" s="13">
        <v>45385</v>
      </c>
      <c r="G33" s="123">
        <f t="shared" ca="1" si="0"/>
        <v>2</v>
      </c>
    </row>
    <row r="34" spans="1:7" ht="20.100000000000001" customHeight="1">
      <c r="A34" s="5">
        <v>30</v>
      </c>
      <c r="B34" s="5">
        <v>2765</v>
      </c>
      <c r="C34" s="16" t="s">
        <v>168</v>
      </c>
      <c r="D34" s="10" t="s">
        <v>68</v>
      </c>
      <c r="E34" s="5">
        <v>9788682940</v>
      </c>
      <c r="F34" s="17">
        <v>45453</v>
      </c>
      <c r="G34" s="123">
        <f t="shared" ca="1" si="0"/>
        <v>1</v>
      </c>
    </row>
    <row r="35" spans="1:7" ht="20.100000000000001" customHeight="1">
      <c r="A35" s="5">
        <v>31</v>
      </c>
      <c r="B35" s="5">
        <v>2512</v>
      </c>
      <c r="C35" s="16" t="s">
        <v>189</v>
      </c>
      <c r="D35" s="10" t="s">
        <v>68</v>
      </c>
      <c r="E35" s="5">
        <v>9292709507</v>
      </c>
      <c r="F35" s="23">
        <v>45117</v>
      </c>
      <c r="G35" s="123">
        <f t="shared" ca="1" si="0"/>
        <v>2</v>
      </c>
    </row>
    <row r="36" spans="1:7" ht="20.100000000000001" customHeight="1">
      <c r="A36" s="5">
        <v>32</v>
      </c>
      <c r="B36" s="5">
        <v>2898</v>
      </c>
      <c r="C36" s="12" t="s">
        <v>190</v>
      </c>
      <c r="D36" s="10" t="s">
        <v>68</v>
      </c>
      <c r="E36" s="5">
        <v>9989895732</v>
      </c>
      <c r="F36" s="17">
        <v>45531</v>
      </c>
      <c r="G36" s="123">
        <f t="shared" ca="1" si="0"/>
        <v>1</v>
      </c>
    </row>
    <row r="37" spans="1:7" ht="20.100000000000001" customHeight="1">
      <c r="A37" s="5">
        <v>33</v>
      </c>
      <c r="B37" s="5">
        <v>2921</v>
      </c>
      <c r="C37" s="12" t="s">
        <v>364</v>
      </c>
      <c r="D37" s="10" t="s">
        <v>192</v>
      </c>
      <c r="E37" s="18">
        <v>9014766760</v>
      </c>
      <c r="F37" s="17">
        <v>45580</v>
      </c>
      <c r="G37" s="123">
        <f t="shared" ca="1" si="0"/>
        <v>1</v>
      </c>
    </row>
    <row r="38" spans="1:7" ht="20.100000000000001" customHeight="1">
      <c r="A38" s="5">
        <v>34</v>
      </c>
      <c r="B38" s="5">
        <v>2965</v>
      </c>
      <c r="C38" s="12" t="s">
        <v>365</v>
      </c>
      <c r="D38" s="5" t="s">
        <v>68</v>
      </c>
      <c r="E38" s="18">
        <v>9642674547</v>
      </c>
      <c r="F38" s="17">
        <v>45663</v>
      </c>
      <c r="G38" s="123">
        <f t="shared" ca="1" si="0"/>
        <v>1</v>
      </c>
    </row>
    <row r="39" spans="1:7" ht="20.100000000000001" customHeight="1">
      <c r="A39" s="5">
        <v>35</v>
      </c>
      <c r="B39" s="5">
        <v>2977</v>
      </c>
      <c r="C39" s="12" t="s">
        <v>367</v>
      </c>
      <c r="D39" s="5" t="s">
        <v>68</v>
      </c>
      <c r="E39" s="18">
        <v>9039466727</v>
      </c>
      <c r="F39" s="17">
        <v>45675</v>
      </c>
      <c r="G39" s="123">
        <f t="shared" ca="1" si="0"/>
        <v>1</v>
      </c>
    </row>
    <row r="40" spans="1:7" ht="20.100000000000001" customHeight="1">
      <c r="A40" s="5">
        <v>36</v>
      </c>
      <c r="B40" s="5">
        <v>3038</v>
      </c>
      <c r="C40" s="12" t="s">
        <v>385</v>
      </c>
      <c r="D40" s="5" t="s">
        <v>68</v>
      </c>
      <c r="E40" s="18">
        <v>8330983764</v>
      </c>
      <c r="F40" s="17">
        <v>45742</v>
      </c>
      <c r="G40" s="123">
        <f t="shared" ca="1" si="0"/>
        <v>1</v>
      </c>
    </row>
    <row r="41" spans="1:7" ht="20.100000000000001" customHeight="1">
      <c r="A41" s="5">
        <v>37</v>
      </c>
      <c r="B41" s="5">
        <v>3073</v>
      </c>
      <c r="C41" s="21" t="s">
        <v>400</v>
      </c>
      <c r="D41" s="5" t="s">
        <v>68</v>
      </c>
      <c r="E41" s="22">
        <v>9885657789</v>
      </c>
      <c r="F41" s="12" t="s">
        <v>401</v>
      </c>
      <c r="G41" s="123" t="e">
        <f t="shared" ca="1" si="0"/>
        <v>#VALUE!</v>
      </c>
    </row>
    <row r="42" spans="1:7" ht="20.100000000000001" customHeight="1">
      <c r="A42" s="5">
        <v>38</v>
      </c>
      <c r="B42" s="5">
        <v>3081</v>
      </c>
      <c r="C42" s="21" t="s">
        <v>402</v>
      </c>
      <c r="D42" s="5" t="s">
        <v>68</v>
      </c>
      <c r="E42" s="18">
        <v>7338323477</v>
      </c>
      <c r="F42" s="12" t="s">
        <v>403</v>
      </c>
      <c r="G42" s="123" t="e">
        <f t="shared" ca="1" si="0"/>
        <v>#VALUE!</v>
      </c>
    </row>
    <row r="43" spans="1:7" ht="20.100000000000001" customHeight="1">
      <c r="A43" s="5">
        <v>39</v>
      </c>
      <c r="B43" s="5">
        <v>3084</v>
      </c>
      <c r="C43" s="21" t="s">
        <v>404</v>
      </c>
      <c r="D43" s="5" t="s">
        <v>68</v>
      </c>
      <c r="E43" s="22">
        <v>9492617314</v>
      </c>
      <c r="F43" s="12" t="s">
        <v>405</v>
      </c>
      <c r="G43" s="123" t="e">
        <f t="shared" ca="1" si="0"/>
        <v>#VALUE!</v>
      </c>
    </row>
    <row r="44" spans="1:7" ht="20.100000000000001" customHeight="1">
      <c r="A44" s="5">
        <v>40</v>
      </c>
      <c r="B44" s="5">
        <v>2936</v>
      </c>
      <c r="C44" s="12" t="s">
        <v>197</v>
      </c>
      <c r="D44" s="10" t="s">
        <v>198</v>
      </c>
      <c r="E44" s="18">
        <v>8125544167</v>
      </c>
      <c r="F44" s="17">
        <v>45600</v>
      </c>
      <c r="G44" s="123">
        <f t="shared" ca="1" si="0"/>
        <v>1</v>
      </c>
    </row>
    <row r="45" spans="1:7" ht="20.100000000000001" customHeight="1">
      <c r="A45" s="5">
        <v>41</v>
      </c>
      <c r="B45" s="5">
        <v>2950</v>
      </c>
      <c r="C45" s="12" t="s">
        <v>390</v>
      </c>
      <c r="D45" s="10" t="s">
        <v>198</v>
      </c>
      <c r="E45" s="5">
        <v>9000024070</v>
      </c>
      <c r="F45" s="17">
        <v>45638</v>
      </c>
      <c r="G45" s="123">
        <f t="shared" ca="1" si="0"/>
        <v>1</v>
      </c>
    </row>
    <row r="46" spans="1:7" ht="20.100000000000001" customHeight="1">
      <c r="A46" s="5">
        <v>42</v>
      </c>
      <c r="B46" s="5">
        <v>633</v>
      </c>
      <c r="C46" s="16" t="s">
        <v>305</v>
      </c>
      <c r="D46" s="5" t="s">
        <v>320</v>
      </c>
      <c r="E46" s="5">
        <v>9494678628</v>
      </c>
      <c r="F46" s="13">
        <v>40380</v>
      </c>
      <c r="G46" s="123">
        <f t="shared" ca="1" si="0"/>
        <v>15</v>
      </c>
    </row>
    <row r="47" spans="1:7" ht="20.100000000000001" customHeight="1">
      <c r="A47" s="5">
        <v>43</v>
      </c>
      <c r="B47" s="5">
        <v>2285</v>
      </c>
      <c r="C47" s="16" t="s">
        <v>306</v>
      </c>
      <c r="D47" s="5" t="s">
        <v>321</v>
      </c>
      <c r="E47" s="5">
        <v>9640066261</v>
      </c>
      <c r="F47" s="13">
        <v>44718</v>
      </c>
      <c r="G47" s="123">
        <f t="shared" ca="1" si="0"/>
        <v>3</v>
      </c>
    </row>
    <row r="48" spans="1:7" ht="20.100000000000001" customHeight="1">
      <c r="A48" s="5">
        <v>44</v>
      </c>
      <c r="B48" s="5">
        <v>2826</v>
      </c>
      <c r="C48" s="14" t="s">
        <v>178</v>
      </c>
      <c r="D48" s="5" t="s">
        <v>62</v>
      </c>
      <c r="E48" s="5">
        <v>9542588470</v>
      </c>
      <c r="F48" s="13">
        <v>45495</v>
      </c>
      <c r="G48" s="123">
        <f t="shared" ca="1" si="0"/>
        <v>1</v>
      </c>
    </row>
    <row r="49" spans="1:7" ht="20.100000000000001" customHeight="1">
      <c r="A49" s="5">
        <v>45</v>
      </c>
      <c r="B49" s="5">
        <v>2925</v>
      </c>
      <c r="C49" s="12" t="s">
        <v>369</v>
      </c>
      <c r="D49" s="5" t="s">
        <v>62</v>
      </c>
      <c r="E49" s="18">
        <v>7995794652</v>
      </c>
      <c r="F49" s="17">
        <v>45742</v>
      </c>
      <c r="G49" s="123">
        <f t="shared" ca="1" si="0"/>
        <v>1</v>
      </c>
    </row>
    <row r="50" spans="1:7" ht="20.100000000000001" customHeight="1">
      <c r="A50" s="5">
        <v>46</v>
      </c>
      <c r="B50" s="5">
        <v>3052</v>
      </c>
      <c r="C50" s="21" t="s">
        <v>202</v>
      </c>
      <c r="D50" s="5" t="s">
        <v>372</v>
      </c>
      <c r="E50" s="18">
        <v>7331142998</v>
      </c>
      <c r="F50" s="17">
        <v>45778</v>
      </c>
      <c r="G50" s="123">
        <f t="shared" ca="1" si="0"/>
        <v>0</v>
      </c>
    </row>
    <row r="51" spans="1:7" ht="20.100000000000001" customHeight="1">
      <c r="A51" s="5">
        <v>47</v>
      </c>
      <c r="B51" s="5"/>
      <c r="C51" s="21" t="s">
        <v>406</v>
      </c>
      <c r="D51" s="5" t="s">
        <v>62</v>
      </c>
      <c r="E51" s="18">
        <v>6300773661</v>
      </c>
      <c r="F51" s="17" t="s">
        <v>407</v>
      </c>
      <c r="G51" s="123" t="e">
        <f t="shared" ca="1" si="0"/>
        <v>#VALUE!</v>
      </c>
    </row>
    <row r="52" spans="1:7" ht="11.25" customHeight="1">
      <c r="A52" s="24"/>
      <c r="B52" s="24"/>
      <c r="C52" s="25"/>
      <c r="D52" s="24"/>
      <c r="E52" s="26"/>
      <c r="F52" s="27"/>
    </row>
    <row r="53" spans="1:7" ht="20.100000000000001" customHeight="1">
      <c r="A53" s="28">
        <v>48</v>
      </c>
      <c r="B53" s="29">
        <v>30410</v>
      </c>
      <c r="C53" s="30" t="s">
        <v>408</v>
      </c>
      <c r="D53" s="28" t="s">
        <v>228</v>
      </c>
      <c r="E53" s="28">
        <v>7995622962</v>
      </c>
      <c r="F53" s="31">
        <v>44928</v>
      </c>
    </row>
    <row r="54" spans="1:7" ht="20.100000000000001" customHeight="1">
      <c r="A54" s="28">
        <v>49</v>
      </c>
      <c r="B54" s="29">
        <v>30744</v>
      </c>
      <c r="C54" s="30" t="s">
        <v>308</v>
      </c>
      <c r="D54" s="28" t="s">
        <v>309</v>
      </c>
      <c r="E54" s="28">
        <v>8790500801</v>
      </c>
      <c r="F54" s="32">
        <v>45071</v>
      </c>
    </row>
    <row r="55" spans="1:7" ht="13.5" customHeight="1">
      <c r="A55" s="24"/>
      <c r="B55" s="24"/>
      <c r="C55" s="33"/>
      <c r="D55" s="24"/>
      <c r="E55" s="24"/>
      <c r="F55" s="34"/>
    </row>
    <row r="56" spans="1:7" ht="20.100000000000001" customHeight="1">
      <c r="A56" s="35">
        <v>50</v>
      </c>
      <c r="B56" s="36">
        <v>30682</v>
      </c>
      <c r="C56" s="37" t="s">
        <v>314</v>
      </c>
      <c r="D56" s="35" t="s">
        <v>62</v>
      </c>
      <c r="E56" s="38">
        <v>9515188096</v>
      </c>
      <c r="F56" s="38" t="s">
        <v>409</v>
      </c>
    </row>
    <row r="57" spans="1:7" ht="9.75" customHeight="1">
      <c r="A57" s="25"/>
      <c r="B57" s="25"/>
      <c r="C57" s="25"/>
      <c r="D57" s="25"/>
      <c r="E57" s="26"/>
      <c r="F57" s="26"/>
    </row>
    <row r="58" spans="1:7" ht="20.100000000000001" customHeight="1">
      <c r="A58" s="39" t="s">
        <v>323</v>
      </c>
      <c r="B58" s="39"/>
      <c r="C58" s="39"/>
      <c r="D58" s="39"/>
      <c r="E58" s="40"/>
      <c r="F58" s="26"/>
    </row>
    <row r="59" spans="1:7" ht="20.100000000000001" customHeight="1">
      <c r="A59" s="41">
        <v>1</v>
      </c>
      <c r="B59" s="42">
        <v>2646</v>
      </c>
      <c r="C59" s="43" t="s">
        <v>245</v>
      </c>
      <c r="D59" s="42" t="s">
        <v>267</v>
      </c>
      <c r="E59" s="41">
        <v>6300035358</v>
      </c>
      <c r="F59" s="44">
        <v>45253</v>
      </c>
    </row>
    <row r="60" spans="1:7" ht="20.100000000000001" customHeight="1">
      <c r="A60" s="41">
        <v>2</v>
      </c>
      <c r="B60" s="42">
        <v>2686</v>
      </c>
      <c r="C60" s="43" t="s">
        <v>268</v>
      </c>
      <c r="D60" s="42" t="s">
        <v>267</v>
      </c>
      <c r="E60" s="41">
        <v>8247346900</v>
      </c>
      <c r="F60" s="44">
        <v>45282</v>
      </c>
    </row>
    <row r="61" spans="1:7" ht="20.100000000000001" customHeight="1">
      <c r="A61" s="41">
        <v>3</v>
      </c>
      <c r="B61" s="45">
        <v>2614</v>
      </c>
      <c r="C61" s="46" t="s">
        <v>269</v>
      </c>
      <c r="D61" s="45" t="s">
        <v>147</v>
      </c>
      <c r="E61" s="47">
        <v>9581958972</v>
      </c>
      <c r="F61" s="48">
        <v>45198</v>
      </c>
    </row>
    <row r="62" spans="1:7" ht="20.100000000000001" customHeight="1">
      <c r="A62" s="41">
        <v>4</v>
      </c>
      <c r="B62" s="42">
        <v>2852</v>
      </c>
      <c r="C62" s="43" t="s">
        <v>205</v>
      </c>
      <c r="D62" s="42" t="s">
        <v>147</v>
      </c>
      <c r="E62" s="41">
        <v>7981683088</v>
      </c>
      <c r="F62" s="44">
        <v>45513</v>
      </c>
    </row>
    <row r="63" spans="1:7" ht="20.100000000000001" customHeight="1">
      <c r="A63" s="41">
        <v>5</v>
      </c>
      <c r="B63" s="42">
        <v>2862</v>
      </c>
      <c r="C63" s="43" t="s">
        <v>206</v>
      </c>
      <c r="D63" s="42" t="s">
        <v>147</v>
      </c>
      <c r="E63" s="41">
        <v>9966109473</v>
      </c>
      <c r="F63" s="49" t="s">
        <v>410</v>
      </c>
    </row>
    <row r="64" spans="1:7" ht="20.100000000000001" customHeight="1">
      <c r="A64" s="41">
        <v>6</v>
      </c>
      <c r="B64" s="42">
        <v>2932</v>
      </c>
      <c r="C64" s="43" t="s">
        <v>207</v>
      </c>
      <c r="D64" s="42" t="s">
        <v>147</v>
      </c>
      <c r="E64" s="41">
        <v>7672052900</v>
      </c>
      <c r="F64" s="44">
        <v>45597</v>
      </c>
    </row>
    <row r="65" spans="1:6" ht="20.100000000000001" customHeight="1">
      <c r="A65" s="41">
        <v>7</v>
      </c>
      <c r="B65" s="42">
        <v>2935</v>
      </c>
      <c r="C65" s="43" t="s">
        <v>208</v>
      </c>
      <c r="D65" s="42" t="s">
        <v>147</v>
      </c>
      <c r="E65" s="41">
        <v>9948686959</v>
      </c>
      <c r="F65" s="44">
        <v>45600</v>
      </c>
    </row>
    <row r="66" spans="1:6" ht="20.100000000000001" customHeight="1">
      <c r="A66" s="41">
        <v>8</v>
      </c>
      <c r="B66" s="42">
        <v>2940</v>
      </c>
      <c r="C66" s="43" t="s">
        <v>209</v>
      </c>
      <c r="D66" s="42" t="s">
        <v>147</v>
      </c>
      <c r="E66" s="41">
        <v>7799595004</v>
      </c>
      <c r="F66" s="44">
        <v>45610</v>
      </c>
    </row>
    <row r="67" spans="1:6" ht="20.100000000000001" customHeight="1">
      <c r="A67" s="41">
        <v>9</v>
      </c>
      <c r="B67" s="42">
        <v>2952</v>
      </c>
      <c r="C67" s="50" t="s">
        <v>210</v>
      </c>
      <c r="D67" s="42" t="s">
        <v>147</v>
      </c>
      <c r="E67" s="41">
        <v>6302946907</v>
      </c>
      <c r="F67" s="49" t="s">
        <v>411</v>
      </c>
    </row>
    <row r="68" spans="1:6" ht="20.100000000000001" customHeight="1">
      <c r="A68" s="41">
        <v>10</v>
      </c>
      <c r="B68" s="42">
        <v>3023</v>
      </c>
      <c r="C68" s="50" t="s">
        <v>211</v>
      </c>
      <c r="D68" s="42" t="s">
        <v>147</v>
      </c>
      <c r="E68" s="41">
        <v>9182194446</v>
      </c>
      <c r="F68" s="51">
        <v>45726</v>
      </c>
    </row>
    <row r="69" spans="1:6" ht="20.100000000000001" customHeight="1">
      <c r="A69" s="41">
        <v>11</v>
      </c>
      <c r="B69" s="41">
        <v>3032</v>
      </c>
      <c r="C69" s="50" t="s">
        <v>212</v>
      </c>
      <c r="D69" s="42" t="s">
        <v>147</v>
      </c>
      <c r="E69" s="49">
        <v>8341287184</v>
      </c>
      <c r="F69" s="49" t="s">
        <v>412</v>
      </c>
    </row>
    <row r="70" spans="1:6" ht="20.100000000000001" customHeight="1">
      <c r="A70" s="41">
        <v>12</v>
      </c>
      <c r="B70" s="41">
        <v>3033</v>
      </c>
      <c r="C70" s="50" t="s">
        <v>213</v>
      </c>
      <c r="D70" s="42" t="s">
        <v>147</v>
      </c>
      <c r="E70" s="49">
        <v>9569464941</v>
      </c>
      <c r="F70" s="49" t="s">
        <v>413</v>
      </c>
    </row>
    <row r="71" spans="1:6" ht="20.100000000000001" customHeight="1">
      <c r="A71" s="529" t="s">
        <v>325</v>
      </c>
      <c r="B71" s="529"/>
      <c r="C71" s="529"/>
      <c r="D71" s="529"/>
      <c r="E71" s="529"/>
      <c r="F71" s="52"/>
    </row>
    <row r="72" spans="1:6" ht="20.100000000000001" customHeight="1">
      <c r="A72" s="53">
        <v>1</v>
      </c>
      <c r="B72" s="53">
        <v>629</v>
      </c>
      <c r="C72" s="54" t="s">
        <v>248</v>
      </c>
      <c r="D72" s="53" t="s">
        <v>270</v>
      </c>
      <c r="E72" s="53">
        <v>9502200265</v>
      </c>
      <c r="F72" s="52"/>
    </row>
    <row r="73" spans="1:6" ht="20.100000000000001" customHeight="1">
      <c r="A73" s="53">
        <v>2</v>
      </c>
      <c r="B73" s="53">
        <v>2538</v>
      </c>
      <c r="C73" s="55" t="s">
        <v>271</v>
      </c>
      <c r="D73" s="53" t="s">
        <v>270</v>
      </c>
      <c r="E73" s="53">
        <v>9848526387</v>
      </c>
      <c r="F73" s="26"/>
    </row>
    <row r="74" spans="1:6" ht="20.100000000000001" customHeight="1">
      <c r="A74" s="53">
        <v>3</v>
      </c>
      <c r="B74" s="53">
        <v>2613</v>
      </c>
      <c r="C74" s="54" t="s">
        <v>272</v>
      </c>
      <c r="D74" s="56" t="s">
        <v>251</v>
      </c>
      <c r="E74" s="53">
        <v>9573912337</v>
      </c>
      <c r="F74" s="26"/>
    </row>
    <row r="75" spans="1:6" ht="20.100000000000001" customHeight="1">
      <c r="A75" s="53">
        <v>4</v>
      </c>
      <c r="B75" s="53">
        <v>2700</v>
      </c>
      <c r="C75" s="54" t="s">
        <v>273</v>
      </c>
      <c r="D75" s="53" t="s">
        <v>251</v>
      </c>
      <c r="E75" s="53">
        <v>7416390127</v>
      </c>
      <c r="F75" s="26"/>
    </row>
    <row r="76" spans="1:6" ht="20.100000000000001" customHeight="1">
      <c r="A76" s="53">
        <v>5</v>
      </c>
      <c r="B76" s="53">
        <v>2996</v>
      </c>
      <c r="C76" s="54" t="s">
        <v>346</v>
      </c>
      <c r="D76" s="53" t="s">
        <v>251</v>
      </c>
      <c r="E76" s="53">
        <v>8142888477</v>
      </c>
      <c r="F76" s="26"/>
    </row>
    <row r="77" spans="1:6" ht="12" customHeight="1">
      <c r="A77" s="25"/>
      <c r="B77" s="25"/>
      <c r="C77" s="25"/>
      <c r="D77" s="25"/>
      <c r="E77" s="26"/>
      <c r="F77" s="26"/>
    </row>
    <row r="78" spans="1:6" ht="15" customHeight="1">
      <c r="A78" s="25"/>
      <c r="B78" s="25"/>
      <c r="C78" s="57" t="s">
        <v>414</v>
      </c>
      <c r="D78" s="57">
        <v>39</v>
      </c>
      <c r="E78" s="26"/>
      <c r="F78" s="26"/>
    </row>
    <row r="79" spans="1:6" ht="15" customHeight="1">
      <c r="A79" s="25"/>
      <c r="B79" s="25"/>
      <c r="C79" s="57" t="s">
        <v>198</v>
      </c>
      <c r="D79" s="57">
        <v>2</v>
      </c>
      <c r="E79" s="26"/>
      <c r="F79" s="26"/>
    </row>
    <row r="80" spans="1:6" ht="15" customHeight="1">
      <c r="A80" s="25"/>
      <c r="B80" s="25"/>
      <c r="C80" s="57" t="s">
        <v>234</v>
      </c>
      <c r="D80" s="57">
        <v>6</v>
      </c>
      <c r="E80" s="26"/>
    </row>
    <row r="81" spans="1:6" ht="15" customHeight="1">
      <c r="A81" s="25"/>
      <c r="B81" s="25"/>
      <c r="C81" s="57" t="s">
        <v>341</v>
      </c>
      <c r="D81" s="57">
        <v>2</v>
      </c>
      <c r="E81" s="26"/>
      <c r="F81" s="26"/>
    </row>
    <row r="82" spans="1:6" ht="15" customHeight="1">
      <c r="A82" s="25"/>
      <c r="B82" s="25"/>
      <c r="C82" s="57" t="s">
        <v>343</v>
      </c>
      <c r="D82" s="57">
        <v>12</v>
      </c>
      <c r="E82" s="26"/>
      <c r="F82" s="26"/>
    </row>
    <row r="83" spans="1:6" ht="15" customHeight="1">
      <c r="A83" s="25"/>
      <c r="B83" s="25"/>
      <c r="C83" s="57" t="s">
        <v>347</v>
      </c>
      <c r="D83" s="57">
        <v>5</v>
      </c>
      <c r="E83" s="26"/>
      <c r="F83" s="26"/>
    </row>
    <row r="84" spans="1:6" ht="20.100000000000001" customHeight="1">
      <c r="A84" s="25"/>
      <c r="B84" s="25"/>
      <c r="C84" s="57"/>
      <c r="D84" s="57">
        <f>SUM(D78:D83)</f>
        <v>66</v>
      </c>
      <c r="E84" s="26"/>
      <c r="F84" s="26"/>
    </row>
    <row r="85" spans="1:6" ht="12.75" customHeight="1">
      <c r="A85" s="25"/>
      <c r="B85" s="25"/>
      <c r="C85" s="25"/>
      <c r="D85" s="25"/>
      <c r="E85" s="26"/>
      <c r="F85" s="26"/>
    </row>
    <row r="86" spans="1:6" ht="20.100000000000001" customHeight="1">
      <c r="A86" s="25"/>
      <c r="B86" s="25"/>
      <c r="C86" s="14" t="s">
        <v>337</v>
      </c>
      <c r="D86" s="5" t="s">
        <v>283</v>
      </c>
      <c r="E86" s="26"/>
      <c r="F86" s="26"/>
    </row>
    <row r="87" spans="1:6" ht="20.100000000000001" customHeight="1">
      <c r="A87" s="25"/>
      <c r="B87" s="25"/>
      <c r="C87" s="25"/>
      <c r="D87" s="25"/>
      <c r="E87" s="26"/>
      <c r="F87" s="26"/>
    </row>
    <row r="88" spans="1:6" ht="20.100000000000001" customHeight="1">
      <c r="A88" s="25"/>
      <c r="B88" s="25"/>
      <c r="C88" s="25"/>
      <c r="D88" s="25"/>
      <c r="E88" s="26"/>
      <c r="F88" s="26"/>
    </row>
    <row r="89" spans="1:6" ht="20.100000000000001" customHeight="1">
      <c r="A89" s="25"/>
      <c r="B89" s="25"/>
      <c r="C89" s="25"/>
      <c r="D89" s="25"/>
      <c r="E89" s="26"/>
      <c r="F89" s="26"/>
    </row>
  </sheetData>
  <mergeCells count="4">
    <mergeCell ref="A1:G1"/>
    <mergeCell ref="A2:G2"/>
    <mergeCell ref="A3:G3"/>
    <mergeCell ref="A71:E71"/>
  </mergeCells>
  <conditionalFormatting sqref="B20:B21">
    <cfRule type="duplicateValues" dxfId="21" priority="1"/>
  </conditionalFormatting>
  <conditionalFormatting sqref="B30:B31">
    <cfRule type="duplicateValues" dxfId="20" priority="2"/>
  </conditionalFormatting>
  <pageMargins left="0.39370078740157499" right="0.39370078740157499" top="0.39370078740157499" bottom="0.39370078740157499" header="0.31496062992126" footer="0.31496062992126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H88"/>
  <sheetViews>
    <sheetView topLeftCell="A46" workbookViewId="0">
      <selection activeCell="C53" sqref="C53"/>
    </sheetView>
  </sheetViews>
  <sheetFormatPr defaultRowHeight="14.4"/>
  <cols>
    <col min="1" max="1" width="1" customWidth="1"/>
    <col min="2" max="2" width="5.88671875" customWidth="1"/>
    <col min="3" max="3" width="8.6640625" customWidth="1"/>
    <col min="4" max="4" width="34.33203125" customWidth="1"/>
    <col min="5" max="5" width="29" style="1" bestFit="1" customWidth="1"/>
    <col min="6" max="6" width="14.33203125" bestFit="1" customWidth="1"/>
    <col min="7" max="7" width="12.44140625" style="1" bestFit="1" customWidth="1"/>
    <col min="8" max="8" width="14.6640625" customWidth="1"/>
    <col min="10" max="10" width="13.33203125" bestFit="1" customWidth="1"/>
    <col min="11" max="11" width="12.5546875" customWidth="1"/>
    <col min="12" max="12" width="10.44140625" bestFit="1" customWidth="1"/>
  </cols>
  <sheetData>
    <row r="1" spans="2:8" ht="17.25" customHeight="1">
      <c r="B1" s="558" t="s">
        <v>47</v>
      </c>
      <c r="C1" s="558"/>
      <c r="D1" s="558"/>
      <c r="E1" s="558"/>
      <c r="F1" s="558"/>
      <c r="G1" s="558"/>
    </row>
    <row r="2" spans="2:8" ht="15" customHeight="1">
      <c r="B2" s="558" t="s">
        <v>274</v>
      </c>
      <c r="C2" s="558"/>
      <c r="D2" s="558"/>
      <c r="E2" s="558"/>
      <c r="F2" s="558"/>
      <c r="G2" s="558"/>
    </row>
    <row r="3" spans="2:8" ht="16.5" customHeight="1">
      <c r="B3" s="559" t="s">
        <v>418</v>
      </c>
      <c r="C3" s="559"/>
      <c r="D3" s="559"/>
      <c r="E3" s="559"/>
      <c r="F3" s="559"/>
      <c r="G3" s="559"/>
    </row>
    <row r="4" spans="2:8" s="1" customFormat="1" ht="27.75" customHeight="1">
      <c r="B4" s="2" t="s">
        <v>1</v>
      </c>
      <c r="C4" s="2" t="s">
        <v>216</v>
      </c>
      <c r="D4" s="2" t="s">
        <v>3</v>
      </c>
      <c r="E4" s="2" t="s">
        <v>4</v>
      </c>
      <c r="F4" s="2" t="s">
        <v>8</v>
      </c>
      <c r="G4" s="3" t="s">
        <v>394</v>
      </c>
    </row>
    <row r="5" spans="2:8" ht="20.100000000000001" customHeight="1">
      <c r="B5" s="5">
        <v>1</v>
      </c>
      <c r="C5" s="5">
        <v>1251</v>
      </c>
      <c r="D5" s="6" t="s">
        <v>9</v>
      </c>
      <c r="E5" s="7" t="s">
        <v>257</v>
      </c>
      <c r="F5" s="7">
        <v>9840850744</v>
      </c>
      <c r="G5" s="8">
        <v>42387</v>
      </c>
      <c r="H5" s="1">
        <f ca="1">DATEDIF(G5,TODAY(),"y")</f>
        <v>10</v>
      </c>
    </row>
    <row r="6" spans="2:8" ht="20.100000000000001" customHeight="1">
      <c r="B6" s="5">
        <v>2</v>
      </c>
      <c r="C6" s="5">
        <v>308</v>
      </c>
      <c r="D6" s="6" t="s">
        <v>299</v>
      </c>
      <c r="E6" s="7" t="s">
        <v>19</v>
      </c>
      <c r="F6" s="7">
        <v>9908823834</v>
      </c>
      <c r="G6" s="8">
        <v>39259</v>
      </c>
      <c r="H6" s="1">
        <f t="shared" ref="H6:H53" ca="1" si="0">DATEDIF(G6,TODAY(),"y")</f>
        <v>18</v>
      </c>
    </row>
    <row r="7" spans="2:8" ht="20.100000000000001" customHeight="1">
      <c r="B7" s="5">
        <v>3</v>
      </c>
      <c r="C7" s="5">
        <v>1182</v>
      </c>
      <c r="D7" s="9" t="s">
        <v>26</v>
      </c>
      <c r="E7" s="10" t="s">
        <v>396</v>
      </c>
      <c r="F7" s="7">
        <v>9676354404</v>
      </c>
      <c r="G7" s="11">
        <v>42193</v>
      </c>
      <c r="H7" s="1">
        <f t="shared" ca="1" si="0"/>
        <v>10</v>
      </c>
    </row>
    <row r="8" spans="2:8" ht="20.100000000000001" customHeight="1">
      <c r="B8" s="5">
        <v>4</v>
      </c>
      <c r="C8" s="5">
        <v>523</v>
      </c>
      <c r="D8" s="12" t="s">
        <v>382</v>
      </c>
      <c r="E8" s="10" t="s">
        <v>180</v>
      </c>
      <c r="F8" s="5">
        <v>9441536410</v>
      </c>
      <c r="G8" s="13">
        <v>45694</v>
      </c>
      <c r="H8" s="1">
        <f t="shared" ca="1" si="0"/>
        <v>1</v>
      </c>
    </row>
    <row r="9" spans="2:8" ht="20.100000000000001" customHeight="1">
      <c r="B9" s="5">
        <v>5</v>
      </c>
      <c r="C9" s="5">
        <v>2827</v>
      </c>
      <c r="D9" s="14" t="s">
        <v>279</v>
      </c>
      <c r="E9" s="10" t="s">
        <v>180</v>
      </c>
      <c r="F9" s="7">
        <v>8085575111</v>
      </c>
      <c r="G9" s="13">
        <v>45495</v>
      </c>
      <c r="H9" s="1">
        <f t="shared" ca="1" si="0"/>
        <v>1</v>
      </c>
    </row>
    <row r="10" spans="2:8" ht="20.100000000000001" customHeight="1">
      <c r="B10" s="5">
        <v>6</v>
      </c>
      <c r="C10" s="5">
        <v>312</v>
      </c>
      <c r="D10" s="6" t="s">
        <v>42</v>
      </c>
      <c r="E10" s="15" t="s">
        <v>180</v>
      </c>
      <c r="F10" s="7">
        <v>8297208489</v>
      </c>
      <c r="G10" s="11">
        <v>40206</v>
      </c>
      <c r="H10" s="1">
        <f t="shared" ca="1" si="0"/>
        <v>16</v>
      </c>
    </row>
    <row r="11" spans="2:8" ht="20.100000000000001" customHeight="1">
      <c r="B11" s="5">
        <v>7</v>
      </c>
      <c r="C11" s="5">
        <v>2090</v>
      </c>
      <c r="D11" s="16" t="s">
        <v>33</v>
      </c>
      <c r="E11" s="10" t="s">
        <v>180</v>
      </c>
      <c r="F11" s="7">
        <v>9441540580</v>
      </c>
      <c r="G11" s="11">
        <v>44107</v>
      </c>
      <c r="H11" s="1">
        <f t="shared" ca="1" si="0"/>
        <v>5</v>
      </c>
    </row>
    <row r="12" spans="2:8" ht="20.100000000000001" customHeight="1">
      <c r="B12" s="5">
        <v>8</v>
      </c>
      <c r="C12" s="5">
        <v>2490</v>
      </c>
      <c r="D12" s="14" t="s">
        <v>83</v>
      </c>
      <c r="E12" s="7" t="s">
        <v>157</v>
      </c>
      <c r="F12" s="5">
        <v>9848129660</v>
      </c>
      <c r="G12" s="17">
        <v>45084</v>
      </c>
      <c r="H12" s="1">
        <f t="shared" ca="1" si="0"/>
        <v>2</v>
      </c>
    </row>
    <row r="13" spans="2:8" ht="20.100000000000001" customHeight="1">
      <c r="B13" s="5">
        <v>9</v>
      </c>
      <c r="C13" s="5">
        <v>2493</v>
      </c>
      <c r="D13" s="14" t="s">
        <v>220</v>
      </c>
      <c r="E13" s="7" t="s">
        <v>157</v>
      </c>
      <c r="F13" s="5">
        <v>8940506036</v>
      </c>
      <c r="G13" s="17">
        <v>45092</v>
      </c>
      <c r="H13" s="1">
        <f t="shared" ca="1" si="0"/>
        <v>2</v>
      </c>
    </row>
    <row r="14" spans="2:8" ht="20.100000000000001" customHeight="1">
      <c r="B14" s="5">
        <v>10</v>
      </c>
      <c r="C14" s="5">
        <v>2499</v>
      </c>
      <c r="D14" s="12" t="s">
        <v>221</v>
      </c>
      <c r="E14" s="7" t="s">
        <v>157</v>
      </c>
      <c r="F14" s="5">
        <v>9994476533</v>
      </c>
      <c r="G14" s="13">
        <v>45103</v>
      </c>
      <c r="H14" s="1">
        <f t="shared" ca="1" si="0"/>
        <v>2</v>
      </c>
    </row>
    <row r="15" spans="2:8" ht="20.100000000000001" customHeight="1">
      <c r="B15" s="5">
        <v>11</v>
      </c>
      <c r="C15" s="5">
        <v>2501</v>
      </c>
      <c r="D15" s="14" t="s">
        <v>101</v>
      </c>
      <c r="E15" s="7" t="s">
        <v>157</v>
      </c>
      <c r="F15" s="5">
        <v>9848052474</v>
      </c>
      <c r="G15" s="13">
        <v>45103</v>
      </c>
      <c r="H15" s="1">
        <f t="shared" ca="1" si="0"/>
        <v>2</v>
      </c>
    </row>
    <row r="16" spans="2:8" ht="20.100000000000001" customHeight="1">
      <c r="B16" s="5">
        <v>12</v>
      </c>
      <c r="C16" s="5">
        <v>2541</v>
      </c>
      <c r="D16" s="16" t="s">
        <v>127</v>
      </c>
      <c r="E16" s="7" t="s">
        <v>157</v>
      </c>
      <c r="F16" s="5">
        <v>7981738522</v>
      </c>
      <c r="G16" s="17">
        <v>45139</v>
      </c>
      <c r="H16" s="1">
        <f t="shared" ca="1" si="0"/>
        <v>2</v>
      </c>
    </row>
    <row r="17" spans="2:8" ht="20.100000000000001" customHeight="1">
      <c r="B17" s="5">
        <v>13</v>
      </c>
      <c r="C17" s="10">
        <v>2689</v>
      </c>
      <c r="D17" s="9" t="s">
        <v>154</v>
      </c>
      <c r="E17" s="7" t="s">
        <v>157</v>
      </c>
      <c r="F17" s="18">
        <v>7006157037</v>
      </c>
      <c r="G17" s="17">
        <v>45289</v>
      </c>
      <c r="H17" s="1">
        <f t="shared" ca="1" si="0"/>
        <v>2</v>
      </c>
    </row>
    <row r="18" spans="2:8" ht="20.100000000000001" customHeight="1">
      <c r="B18" s="5">
        <v>14</v>
      </c>
      <c r="C18" s="5">
        <v>2947</v>
      </c>
      <c r="D18" s="12" t="s">
        <v>204</v>
      </c>
      <c r="E18" s="7" t="s">
        <v>157</v>
      </c>
      <c r="F18" s="5">
        <v>9032045840</v>
      </c>
      <c r="G18" s="17">
        <v>45632</v>
      </c>
      <c r="H18" s="1">
        <f t="shared" ca="1" si="0"/>
        <v>1</v>
      </c>
    </row>
    <row r="19" spans="2:8" ht="20.100000000000001" customHeight="1">
      <c r="B19" s="5">
        <v>15</v>
      </c>
      <c r="C19" s="5">
        <v>540</v>
      </c>
      <c r="D19" s="6" t="s">
        <v>378</v>
      </c>
      <c r="E19" s="10" t="s">
        <v>68</v>
      </c>
      <c r="F19" s="7">
        <v>9550367172</v>
      </c>
      <c r="G19" s="11">
        <v>40032</v>
      </c>
      <c r="H19" s="1">
        <f t="shared" ca="1" si="0"/>
        <v>16</v>
      </c>
    </row>
    <row r="20" spans="2:8" ht="20.100000000000001" customHeight="1">
      <c r="B20" s="5">
        <v>16</v>
      </c>
      <c r="C20" s="19" t="s">
        <v>397</v>
      </c>
      <c r="D20" s="9" t="s">
        <v>67</v>
      </c>
      <c r="E20" s="10" t="s">
        <v>68</v>
      </c>
      <c r="F20" s="5">
        <v>9614547390</v>
      </c>
      <c r="G20" s="11">
        <v>45014</v>
      </c>
      <c r="H20" s="1">
        <f t="shared" ca="1" si="0"/>
        <v>3</v>
      </c>
    </row>
    <row r="21" spans="2:8" ht="20.100000000000001" customHeight="1">
      <c r="B21" s="5">
        <v>17</v>
      </c>
      <c r="C21" s="5">
        <v>2454</v>
      </c>
      <c r="D21" s="16" t="s">
        <v>318</v>
      </c>
      <c r="E21" s="10" t="s">
        <v>68</v>
      </c>
      <c r="F21" s="5">
        <v>7729990303</v>
      </c>
      <c r="G21" s="11">
        <v>45047</v>
      </c>
      <c r="H21" s="1">
        <f t="shared" ca="1" si="0"/>
        <v>2</v>
      </c>
    </row>
    <row r="22" spans="2:8" ht="20.100000000000001" customHeight="1">
      <c r="B22" s="5">
        <v>18</v>
      </c>
      <c r="C22" s="5">
        <v>2502</v>
      </c>
      <c r="D22" s="14" t="s">
        <v>359</v>
      </c>
      <c r="E22" s="10" t="s">
        <v>68</v>
      </c>
      <c r="F22" s="5">
        <v>9600605782</v>
      </c>
      <c r="G22" s="13">
        <v>45105</v>
      </c>
      <c r="H22" s="1">
        <f t="shared" ca="1" si="0"/>
        <v>2</v>
      </c>
    </row>
    <row r="23" spans="2:8" ht="20.100000000000001" customHeight="1">
      <c r="B23" s="5">
        <v>19</v>
      </c>
      <c r="C23" s="5">
        <v>2514</v>
      </c>
      <c r="D23" s="14" t="s">
        <v>113</v>
      </c>
      <c r="E23" s="10" t="s">
        <v>68</v>
      </c>
      <c r="F23" s="5">
        <v>9500312191</v>
      </c>
      <c r="G23" s="13">
        <v>45117</v>
      </c>
      <c r="H23" s="1">
        <f t="shared" ca="1" si="0"/>
        <v>2</v>
      </c>
    </row>
    <row r="24" spans="2:8" ht="20.100000000000001" customHeight="1">
      <c r="B24" s="5">
        <v>20</v>
      </c>
      <c r="C24" s="5">
        <v>2519</v>
      </c>
      <c r="D24" s="14" t="s">
        <v>120</v>
      </c>
      <c r="E24" s="10" t="s">
        <v>68</v>
      </c>
      <c r="F24" s="10">
        <v>8978116834</v>
      </c>
      <c r="G24" s="17">
        <v>45121</v>
      </c>
      <c r="H24" s="1">
        <f t="shared" ca="1" si="0"/>
        <v>2</v>
      </c>
    </row>
    <row r="25" spans="2:8" ht="20.100000000000001" customHeight="1">
      <c r="B25" s="5">
        <v>21</v>
      </c>
      <c r="C25" s="10">
        <v>2637</v>
      </c>
      <c r="D25" s="9" t="s">
        <v>261</v>
      </c>
      <c r="E25" s="10" t="s">
        <v>68</v>
      </c>
      <c r="F25" s="5">
        <v>9706631085</v>
      </c>
      <c r="G25" s="13">
        <v>45245</v>
      </c>
      <c r="H25" s="1">
        <f t="shared" ca="1" si="0"/>
        <v>2</v>
      </c>
    </row>
    <row r="26" spans="2:8" ht="20.100000000000001" customHeight="1">
      <c r="B26" s="5">
        <v>22</v>
      </c>
      <c r="C26" s="5">
        <v>2812</v>
      </c>
      <c r="D26" s="20" t="s">
        <v>301</v>
      </c>
      <c r="E26" s="10" t="s">
        <v>68</v>
      </c>
      <c r="F26" s="5">
        <v>7731063177</v>
      </c>
      <c r="G26" s="13">
        <v>45488</v>
      </c>
      <c r="H26" s="1">
        <f t="shared" ca="1" si="0"/>
        <v>1</v>
      </c>
    </row>
    <row r="27" spans="2:8" ht="20.100000000000001" customHeight="1">
      <c r="B27" s="5">
        <v>23</v>
      </c>
      <c r="C27" s="5">
        <v>2814</v>
      </c>
      <c r="D27" s="20" t="s">
        <v>327</v>
      </c>
      <c r="E27" s="10" t="s">
        <v>68</v>
      </c>
      <c r="F27" s="5">
        <v>8056033643</v>
      </c>
      <c r="G27" s="13">
        <v>45488</v>
      </c>
      <c r="H27" s="1">
        <f t="shared" ca="1" si="0"/>
        <v>1</v>
      </c>
    </row>
    <row r="28" spans="2:8" ht="20.100000000000001" customHeight="1">
      <c r="B28" s="5">
        <v>24</v>
      </c>
      <c r="C28" s="5">
        <v>2934</v>
      </c>
      <c r="D28" s="12" t="s">
        <v>193</v>
      </c>
      <c r="E28" s="10" t="s">
        <v>68</v>
      </c>
      <c r="F28" s="18">
        <v>9440664462</v>
      </c>
      <c r="G28" s="17">
        <v>45600</v>
      </c>
      <c r="H28" s="1">
        <f t="shared" ca="1" si="0"/>
        <v>1</v>
      </c>
    </row>
    <row r="29" spans="2:8" ht="20.100000000000001" customHeight="1">
      <c r="B29" s="5">
        <v>25</v>
      </c>
      <c r="C29" s="5">
        <v>3080</v>
      </c>
      <c r="D29" s="230" t="s">
        <v>398</v>
      </c>
      <c r="E29" s="10" t="s">
        <v>68</v>
      </c>
      <c r="F29" s="22">
        <v>6300921477</v>
      </c>
      <c r="G29" s="17" t="s">
        <v>399</v>
      </c>
      <c r="H29" s="1"/>
    </row>
    <row r="30" spans="2:8" ht="20.100000000000001" customHeight="1">
      <c r="B30" s="5">
        <v>26</v>
      </c>
      <c r="C30" s="5"/>
      <c r="D30" s="230" t="s">
        <v>415</v>
      </c>
      <c r="E30" s="10" t="s">
        <v>68</v>
      </c>
      <c r="F30" s="22">
        <v>9492688417</v>
      </c>
      <c r="G30" s="17"/>
      <c r="H30" s="1"/>
    </row>
    <row r="31" spans="2:8" ht="20.100000000000001" customHeight="1">
      <c r="B31" s="5">
        <v>27</v>
      </c>
      <c r="C31" s="5">
        <v>1181</v>
      </c>
      <c r="D31" s="9" t="s">
        <v>55</v>
      </c>
      <c r="E31" s="10" t="s">
        <v>68</v>
      </c>
      <c r="F31" s="7">
        <v>9493670612</v>
      </c>
      <c r="G31" s="11">
        <v>42193</v>
      </c>
      <c r="H31" s="1">
        <f t="shared" ca="1" si="0"/>
        <v>10</v>
      </c>
    </row>
    <row r="32" spans="2:8" ht="20.100000000000001" customHeight="1">
      <c r="B32" s="5">
        <v>28</v>
      </c>
      <c r="C32" s="5">
        <v>1243</v>
      </c>
      <c r="D32" s="9" t="s">
        <v>58</v>
      </c>
      <c r="E32" s="10" t="s">
        <v>68</v>
      </c>
      <c r="F32" s="7">
        <v>8790166779</v>
      </c>
      <c r="G32" s="11">
        <v>42354</v>
      </c>
      <c r="H32" s="1">
        <f t="shared" ca="1" si="0"/>
        <v>10</v>
      </c>
    </row>
    <row r="33" spans="2:8" ht="20.100000000000001" customHeight="1">
      <c r="B33" s="5">
        <v>29</v>
      </c>
      <c r="C33" s="5">
        <v>2432</v>
      </c>
      <c r="D33" s="16" t="s">
        <v>280</v>
      </c>
      <c r="E33" s="10" t="s">
        <v>68</v>
      </c>
      <c r="F33" s="5">
        <v>7093243607</v>
      </c>
      <c r="G33" s="13">
        <v>44982</v>
      </c>
      <c r="H33" s="1">
        <f t="shared" ca="1" si="0"/>
        <v>3</v>
      </c>
    </row>
    <row r="34" spans="2:8" ht="20.100000000000001" customHeight="1">
      <c r="B34" s="5">
        <v>30</v>
      </c>
      <c r="C34" s="5">
        <v>2728</v>
      </c>
      <c r="D34" s="14" t="s">
        <v>384</v>
      </c>
      <c r="E34" s="10" t="s">
        <v>68</v>
      </c>
      <c r="F34" s="5">
        <v>7981960066</v>
      </c>
      <c r="G34" s="13">
        <v>45385</v>
      </c>
      <c r="H34" s="1">
        <f t="shared" ca="1" si="0"/>
        <v>2</v>
      </c>
    </row>
    <row r="35" spans="2:8" ht="20.100000000000001" customHeight="1">
      <c r="B35" s="5">
        <v>31</v>
      </c>
      <c r="C35" s="5">
        <v>2765</v>
      </c>
      <c r="D35" s="16" t="s">
        <v>168</v>
      </c>
      <c r="E35" s="10" t="s">
        <v>68</v>
      </c>
      <c r="F35" s="5">
        <v>9788682940</v>
      </c>
      <c r="G35" s="17">
        <v>45453</v>
      </c>
      <c r="H35" s="1">
        <f t="shared" ca="1" si="0"/>
        <v>1</v>
      </c>
    </row>
    <row r="36" spans="2:8" ht="20.100000000000001" customHeight="1">
      <c r="B36" s="5">
        <v>32</v>
      </c>
      <c r="C36" s="5">
        <v>2512</v>
      </c>
      <c r="D36" s="16" t="s">
        <v>189</v>
      </c>
      <c r="E36" s="10" t="s">
        <v>68</v>
      </c>
      <c r="F36" s="5">
        <v>9292709507</v>
      </c>
      <c r="G36" s="23">
        <v>45117</v>
      </c>
      <c r="H36" s="1">
        <f t="shared" ca="1" si="0"/>
        <v>2</v>
      </c>
    </row>
    <row r="37" spans="2:8" ht="20.100000000000001" customHeight="1">
      <c r="B37" s="5">
        <v>33</v>
      </c>
      <c r="C37" s="5">
        <v>2898</v>
      </c>
      <c r="D37" s="12" t="s">
        <v>190</v>
      </c>
      <c r="E37" s="10" t="s">
        <v>68</v>
      </c>
      <c r="F37" s="5">
        <v>9989895732</v>
      </c>
      <c r="G37" s="17">
        <v>45531</v>
      </c>
      <c r="H37" s="1">
        <f t="shared" ca="1" si="0"/>
        <v>1</v>
      </c>
    </row>
    <row r="38" spans="2:8" ht="20.100000000000001" customHeight="1">
      <c r="B38" s="5">
        <v>34</v>
      </c>
      <c r="C38" s="5">
        <v>2965</v>
      </c>
      <c r="D38" s="12" t="s">
        <v>365</v>
      </c>
      <c r="E38" s="5" t="s">
        <v>68</v>
      </c>
      <c r="F38" s="18">
        <v>9642674547</v>
      </c>
      <c r="G38" s="17">
        <v>45663</v>
      </c>
      <c r="H38" s="1">
        <f t="shared" ca="1" si="0"/>
        <v>1</v>
      </c>
    </row>
    <row r="39" spans="2:8" ht="20.100000000000001" customHeight="1">
      <c r="B39" s="5">
        <v>35</v>
      </c>
      <c r="C39" s="5">
        <v>2977</v>
      </c>
      <c r="D39" s="12" t="s">
        <v>367</v>
      </c>
      <c r="E39" s="5" t="s">
        <v>68</v>
      </c>
      <c r="F39" s="18">
        <v>9039466727</v>
      </c>
      <c r="G39" s="17">
        <v>45675</v>
      </c>
      <c r="H39" s="1">
        <f t="shared" ca="1" si="0"/>
        <v>1</v>
      </c>
    </row>
    <row r="40" spans="2:8" ht="20.100000000000001" customHeight="1">
      <c r="B40" s="5">
        <v>36</v>
      </c>
      <c r="C40" s="5">
        <v>3038</v>
      </c>
      <c r="D40" s="12" t="s">
        <v>385</v>
      </c>
      <c r="E40" s="5" t="s">
        <v>68</v>
      </c>
      <c r="F40" s="18">
        <v>8330983764</v>
      </c>
      <c r="G40" s="17">
        <v>45742</v>
      </c>
      <c r="H40" s="1">
        <f t="shared" ca="1" si="0"/>
        <v>1</v>
      </c>
    </row>
    <row r="41" spans="2:8" ht="20.100000000000001" customHeight="1">
      <c r="B41" s="5">
        <v>37</v>
      </c>
      <c r="C41" s="5">
        <v>3073</v>
      </c>
      <c r="D41" s="231" t="s">
        <v>400</v>
      </c>
      <c r="E41" s="232" t="s">
        <v>68</v>
      </c>
      <c r="F41" s="236">
        <v>9885657789</v>
      </c>
      <c r="G41" s="18" t="s">
        <v>401</v>
      </c>
      <c r="H41" s="1" t="e">
        <f t="shared" ca="1" si="0"/>
        <v>#VALUE!</v>
      </c>
    </row>
    <row r="42" spans="2:8" ht="20.100000000000001" customHeight="1">
      <c r="B42" s="5">
        <v>38</v>
      </c>
      <c r="C42" s="5">
        <v>3081</v>
      </c>
      <c r="D42" s="231" t="s">
        <v>419</v>
      </c>
      <c r="E42" s="232" t="s">
        <v>68</v>
      </c>
      <c r="F42" s="233">
        <v>7338323477</v>
      </c>
      <c r="G42" s="18" t="s">
        <v>403</v>
      </c>
      <c r="H42" s="1" t="e">
        <f t="shared" ca="1" si="0"/>
        <v>#VALUE!</v>
      </c>
    </row>
    <row r="43" spans="2:8" ht="20.100000000000001" customHeight="1">
      <c r="B43" s="5">
        <v>39</v>
      </c>
      <c r="C43" s="5">
        <v>3084</v>
      </c>
      <c r="D43" s="231" t="s">
        <v>404</v>
      </c>
      <c r="E43" s="232" t="s">
        <v>68</v>
      </c>
      <c r="F43" s="236">
        <v>9492617314</v>
      </c>
      <c r="G43" s="18" t="s">
        <v>405</v>
      </c>
      <c r="H43" s="1" t="e">
        <f t="shared" ca="1" si="0"/>
        <v>#VALUE!</v>
      </c>
    </row>
    <row r="44" spans="2:8" ht="20.100000000000001" customHeight="1">
      <c r="B44" s="5">
        <v>40</v>
      </c>
      <c r="C44" s="5">
        <v>2921</v>
      </c>
      <c r="D44" s="12" t="s">
        <v>364</v>
      </c>
      <c r="E44" s="10" t="s">
        <v>192</v>
      </c>
      <c r="F44" s="18">
        <v>9014766760</v>
      </c>
      <c r="G44" s="17">
        <v>45580</v>
      </c>
      <c r="H44" s="1">
        <f t="shared" ca="1" si="0"/>
        <v>1</v>
      </c>
    </row>
    <row r="45" spans="2:8" ht="20.100000000000001" customHeight="1">
      <c r="B45" s="5">
        <v>41</v>
      </c>
      <c r="C45" s="123">
        <v>3089</v>
      </c>
      <c r="D45" s="234" t="s">
        <v>416</v>
      </c>
      <c r="E45" s="235" t="s">
        <v>417</v>
      </c>
      <c r="F45" s="234">
        <v>8790242128</v>
      </c>
      <c r="G45" s="96">
        <v>45826</v>
      </c>
      <c r="H45" s="1">
        <f t="shared" ca="1" si="0"/>
        <v>0</v>
      </c>
    </row>
    <row r="46" spans="2:8" ht="20.100000000000001" customHeight="1">
      <c r="B46" s="5">
        <v>42</v>
      </c>
      <c r="C46" s="5">
        <v>2936</v>
      </c>
      <c r="D46" s="12" t="s">
        <v>197</v>
      </c>
      <c r="E46" s="10" t="s">
        <v>198</v>
      </c>
      <c r="F46" s="18">
        <v>8125544167</v>
      </c>
      <c r="G46" s="17">
        <v>45600</v>
      </c>
      <c r="H46" s="1">
        <f t="shared" ca="1" si="0"/>
        <v>1</v>
      </c>
    </row>
    <row r="47" spans="2:8" ht="20.100000000000001" customHeight="1">
      <c r="B47" s="5">
        <v>43</v>
      </c>
      <c r="C47" s="5">
        <v>2950</v>
      </c>
      <c r="D47" s="12" t="s">
        <v>390</v>
      </c>
      <c r="E47" s="10" t="s">
        <v>198</v>
      </c>
      <c r="F47" s="5">
        <v>9000024070</v>
      </c>
      <c r="G47" s="17">
        <v>45638</v>
      </c>
      <c r="H47" s="1">
        <f t="shared" ca="1" si="0"/>
        <v>1</v>
      </c>
    </row>
    <row r="48" spans="2:8" ht="20.100000000000001" customHeight="1">
      <c r="B48" s="5">
        <v>44</v>
      </c>
      <c r="C48" s="5">
        <v>633</v>
      </c>
      <c r="D48" s="16" t="s">
        <v>305</v>
      </c>
      <c r="E48" s="5" t="s">
        <v>320</v>
      </c>
      <c r="F48" s="5">
        <v>9494678628</v>
      </c>
      <c r="G48" s="13">
        <v>40380</v>
      </c>
      <c r="H48" s="1">
        <f t="shared" ca="1" si="0"/>
        <v>15</v>
      </c>
    </row>
    <row r="49" spans="2:8" ht="20.100000000000001" customHeight="1">
      <c r="B49" s="5">
        <v>45</v>
      </c>
      <c r="C49" s="5">
        <v>2285</v>
      </c>
      <c r="D49" s="16" t="s">
        <v>306</v>
      </c>
      <c r="E49" s="5" t="s">
        <v>321</v>
      </c>
      <c r="F49" s="5">
        <v>9640066261</v>
      </c>
      <c r="G49" s="13">
        <v>44718</v>
      </c>
      <c r="H49" s="1">
        <f t="shared" ca="1" si="0"/>
        <v>3</v>
      </c>
    </row>
    <row r="50" spans="2:8" ht="20.100000000000001" customHeight="1">
      <c r="B50" s="5">
        <v>46</v>
      </c>
      <c r="C50" s="5">
        <v>2826</v>
      </c>
      <c r="D50" s="14" t="s">
        <v>178</v>
      </c>
      <c r="E50" s="5" t="s">
        <v>62</v>
      </c>
      <c r="F50" s="5">
        <v>9542588470</v>
      </c>
      <c r="G50" s="13">
        <v>45495</v>
      </c>
      <c r="H50" s="1">
        <f t="shared" ca="1" si="0"/>
        <v>1</v>
      </c>
    </row>
    <row r="51" spans="2:8" ht="20.100000000000001" customHeight="1">
      <c r="B51" s="5">
        <v>47</v>
      </c>
      <c r="C51" s="5">
        <v>2925</v>
      </c>
      <c r="D51" s="12" t="s">
        <v>369</v>
      </c>
      <c r="E51" s="5" t="s">
        <v>62</v>
      </c>
      <c r="F51" s="18">
        <v>7995794652</v>
      </c>
      <c r="G51" s="17">
        <v>45742</v>
      </c>
      <c r="H51" s="1">
        <f t="shared" ca="1" si="0"/>
        <v>1</v>
      </c>
    </row>
    <row r="52" spans="2:8" ht="20.100000000000001" customHeight="1">
      <c r="B52" s="5">
        <v>48</v>
      </c>
      <c r="C52" s="5">
        <v>3052</v>
      </c>
      <c r="D52" s="231" t="s">
        <v>202</v>
      </c>
      <c r="E52" s="232" t="s">
        <v>372</v>
      </c>
      <c r="F52" s="233">
        <v>7331142998</v>
      </c>
      <c r="G52" s="17">
        <v>45778</v>
      </c>
      <c r="H52" s="1">
        <f t="shared" ca="1" si="0"/>
        <v>0</v>
      </c>
    </row>
    <row r="53" spans="2:8" ht="20.100000000000001" customHeight="1">
      <c r="B53" s="5">
        <v>49</v>
      </c>
      <c r="C53" s="5"/>
      <c r="D53" s="231" t="s">
        <v>406</v>
      </c>
      <c r="E53" s="232" t="s">
        <v>62</v>
      </c>
      <c r="F53" s="233">
        <v>6300773661</v>
      </c>
      <c r="G53" s="17" t="s">
        <v>407</v>
      </c>
      <c r="H53" s="1" t="e">
        <f t="shared" ca="1" si="0"/>
        <v>#VALUE!</v>
      </c>
    </row>
    <row r="54" spans="2:8" ht="12" customHeight="1">
      <c r="B54" s="24"/>
      <c r="C54" s="24"/>
      <c r="D54" s="25"/>
      <c r="E54" s="24"/>
      <c r="F54" s="26"/>
      <c r="G54" s="27"/>
    </row>
    <row r="55" spans="2:8" ht="20.100000000000001" customHeight="1">
      <c r="B55" s="28">
        <v>50</v>
      </c>
      <c r="C55" s="29">
        <v>30410</v>
      </c>
      <c r="D55" s="30" t="s">
        <v>408</v>
      </c>
      <c r="E55" s="28" t="s">
        <v>228</v>
      </c>
      <c r="F55" s="28">
        <v>7995622962</v>
      </c>
      <c r="G55" s="31">
        <v>44928</v>
      </c>
    </row>
    <row r="56" spans="2:8" ht="20.100000000000001" customHeight="1">
      <c r="B56" s="28">
        <v>51</v>
      </c>
      <c r="C56" s="29">
        <v>30744</v>
      </c>
      <c r="D56" s="30" t="s">
        <v>308</v>
      </c>
      <c r="E56" s="28" t="s">
        <v>309</v>
      </c>
      <c r="F56" s="28">
        <v>8790500801</v>
      </c>
      <c r="G56" s="32">
        <v>45071</v>
      </c>
    </row>
    <row r="57" spans="2:8" ht="12" customHeight="1">
      <c r="B57" s="24"/>
      <c r="C57" s="24"/>
      <c r="D57" s="33"/>
      <c r="E57" s="24"/>
      <c r="F57" s="24"/>
      <c r="G57" s="34"/>
    </row>
    <row r="58" spans="2:8" ht="20.100000000000001" customHeight="1">
      <c r="B58" s="35">
        <v>52</v>
      </c>
      <c r="C58" s="36">
        <v>30682</v>
      </c>
      <c r="D58" s="37" t="s">
        <v>314</v>
      </c>
      <c r="E58" s="35" t="s">
        <v>62</v>
      </c>
      <c r="F58" s="38">
        <v>9515188096</v>
      </c>
      <c r="G58" s="38" t="s">
        <v>409</v>
      </c>
    </row>
    <row r="59" spans="2:8" ht="9.75" customHeight="1">
      <c r="B59" s="25"/>
      <c r="C59" s="25"/>
      <c r="D59" s="25"/>
      <c r="E59" s="26"/>
      <c r="F59" s="26"/>
      <c r="G59" s="26"/>
    </row>
    <row r="60" spans="2:8" ht="20.100000000000001" customHeight="1">
      <c r="B60" s="39" t="s">
        <v>323</v>
      </c>
      <c r="C60" s="39"/>
      <c r="D60" s="39"/>
      <c r="E60" s="40"/>
      <c r="F60" s="40"/>
      <c r="G60" s="26"/>
    </row>
    <row r="61" spans="2:8" ht="20.100000000000001" customHeight="1">
      <c r="B61" s="41">
        <v>1</v>
      </c>
      <c r="C61" s="42">
        <v>2646</v>
      </c>
      <c r="D61" s="43" t="s">
        <v>245</v>
      </c>
      <c r="E61" s="42" t="s">
        <v>267</v>
      </c>
      <c r="F61" s="41">
        <v>6300035358</v>
      </c>
      <c r="G61" s="44">
        <v>45253</v>
      </c>
    </row>
    <row r="62" spans="2:8" ht="20.100000000000001" customHeight="1">
      <c r="B62" s="41">
        <v>2</v>
      </c>
      <c r="C62" s="42">
        <v>2686</v>
      </c>
      <c r="D62" s="43" t="s">
        <v>268</v>
      </c>
      <c r="E62" s="42" t="s">
        <v>267</v>
      </c>
      <c r="F62" s="41">
        <v>8247346900</v>
      </c>
      <c r="G62" s="44">
        <v>45282</v>
      </c>
    </row>
    <row r="63" spans="2:8" ht="20.100000000000001" customHeight="1">
      <c r="B63" s="41">
        <v>3</v>
      </c>
      <c r="C63" s="42">
        <v>2852</v>
      </c>
      <c r="D63" s="43" t="s">
        <v>205</v>
      </c>
      <c r="E63" s="42" t="s">
        <v>147</v>
      </c>
      <c r="F63" s="41">
        <v>7981683088</v>
      </c>
      <c r="G63" s="44">
        <v>45513</v>
      </c>
    </row>
    <row r="64" spans="2:8" ht="20.100000000000001" customHeight="1">
      <c r="B64" s="41">
        <v>4</v>
      </c>
      <c r="C64" s="42">
        <v>2862</v>
      </c>
      <c r="D64" s="43" t="s">
        <v>206</v>
      </c>
      <c r="E64" s="42" t="s">
        <v>147</v>
      </c>
      <c r="F64" s="41">
        <v>9966109473</v>
      </c>
      <c r="G64" s="49" t="s">
        <v>410</v>
      </c>
    </row>
    <row r="65" spans="2:7" ht="20.100000000000001" customHeight="1">
      <c r="B65" s="41">
        <v>5</v>
      </c>
      <c r="C65" s="42">
        <v>2932</v>
      </c>
      <c r="D65" s="43" t="s">
        <v>207</v>
      </c>
      <c r="E65" s="42" t="s">
        <v>147</v>
      </c>
      <c r="F65" s="41">
        <v>7672052900</v>
      </c>
      <c r="G65" s="44">
        <v>45597</v>
      </c>
    </row>
    <row r="66" spans="2:7" ht="20.100000000000001" customHeight="1">
      <c r="B66" s="41">
        <v>6</v>
      </c>
      <c r="C66" s="42">
        <v>2935</v>
      </c>
      <c r="D66" s="43" t="s">
        <v>208</v>
      </c>
      <c r="E66" s="42" t="s">
        <v>147</v>
      </c>
      <c r="F66" s="41">
        <v>9948686959</v>
      </c>
      <c r="G66" s="44">
        <v>45600</v>
      </c>
    </row>
    <row r="67" spans="2:7" ht="20.100000000000001" customHeight="1">
      <c r="B67" s="41">
        <v>7</v>
      </c>
      <c r="C67" s="42">
        <v>2940</v>
      </c>
      <c r="D67" s="43" t="s">
        <v>209</v>
      </c>
      <c r="E67" s="42" t="s">
        <v>147</v>
      </c>
      <c r="F67" s="41">
        <v>7799595004</v>
      </c>
      <c r="G67" s="44">
        <v>45610</v>
      </c>
    </row>
    <row r="68" spans="2:7" ht="20.100000000000001" customHeight="1">
      <c r="B68" s="41">
        <v>8</v>
      </c>
      <c r="C68" s="42">
        <v>2952</v>
      </c>
      <c r="D68" s="50" t="s">
        <v>210</v>
      </c>
      <c r="E68" s="42" t="s">
        <v>147</v>
      </c>
      <c r="F68" s="41">
        <v>6302946907</v>
      </c>
      <c r="G68" s="49" t="s">
        <v>411</v>
      </c>
    </row>
    <row r="69" spans="2:7" ht="20.100000000000001" customHeight="1">
      <c r="B69" s="41">
        <v>9</v>
      </c>
      <c r="C69" s="42">
        <v>3023</v>
      </c>
      <c r="D69" s="50" t="s">
        <v>211</v>
      </c>
      <c r="E69" s="42" t="s">
        <v>147</v>
      </c>
      <c r="F69" s="41">
        <v>9182194446</v>
      </c>
      <c r="G69" s="51">
        <v>45726</v>
      </c>
    </row>
    <row r="70" spans="2:7" ht="20.100000000000001" customHeight="1">
      <c r="B70" s="41">
        <v>10</v>
      </c>
      <c r="C70" s="41">
        <v>3032</v>
      </c>
      <c r="D70" s="50" t="s">
        <v>212</v>
      </c>
      <c r="E70" s="42" t="s">
        <v>147</v>
      </c>
      <c r="F70" s="49">
        <v>8341287184</v>
      </c>
      <c r="G70" s="49" t="s">
        <v>412</v>
      </c>
    </row>
    <row r="71" spans="2:7" ht="20.100000000000001" customHeight="1">
      <c r="B71" s="41">
        <v>11</v>
      </c>
      <c r="C71" s="41">
        <v>3033</v>
      </c>
      <c r="D71" s="50" t="s">
        <v>213</v>
      </c>
      <c r="E71" s="42" t="s">
        <v>147</v>
      </c>
      <c r="F71" s="49">
        <v>9569464941</v>
      </c>
      <c r="G71" s="49" t="s">
        <v>413</v>
      </c>
    </row>
    <row r="72" spans="2:7" ht="20.100000000000001" customHeight="1">
      <c r="B72" s="529" t="s">
        <v>325</v>
      </c>
      <c r="C72" s="529"/>
      <c r="D72" s="529"/>
      <c r="E72" s="529"/>
      <c r="F72" s="529"/>
      <c r="G72" s="52"/>
    </row>
    <row r="73" spans="2:7" ht="20.100000000000001" customHeight="1">
      <c r="B73" s="53">
        <v>1</v>
      </c>
      <c r="C73" s="53">
        <v>629</v>
      </c>
      <c r="D73" s="54" t="s">
        <v>248</v>
      </c>
      <c r="E73" s="53" t="s">
        <v>270</v>
      </c>
      <c r="F73" s="53">
        <v>9502200265</v>
      </c>
      <c r="G73" s="52"/>
    </row>
    <row r="74" spans="2:7" ht="20.100000000000001" customHeight="1">
      <c r="B74" s="53">
        <v>2</v>
      </c>
      <c r="C74" s="53">
        <v>2538</v>
      </c>
      <c r="D74" s="55" t="s">
        <v>271</v>
      </c>
      <c r="E74" s="53" t="s">
        <v>270</v>
      </c>
      <c r="F74" s="53">
        <v>9848526387</v>
      </c>
      <c r="G74" s="26"/>
    </row>
    <row r="75" spans="2:7" ht="20.100000000000001" customHeight="1">
      <c r="B75" s="53">
        <v>3</v>
      </c>
      <c r="C75" s="53">
        <v>2613</v>
      </c>
      <c r="D75" s="54" t="s">
        <v>272</v>
      </c>
      <c r="E75" s="56" t="s">
        <v>251</v>
      </c>
      <c r="F75" s="53">
        <v>9573912337</v>
      </c>
      <c r="G75" s="26"/>
    </row>
    <row r="76" spans="2:7" ht="20.100000000000001" customHeight="1">
      <c r="B76" s="53">
        <v>4</v>
      </c>
      <c r="C76" s="53">
        <v>2700</v>
      </c>
      <c r="D76" s="54" t="s">
        <v>273</v>
      </c>
      <c r="E76" s="53" t="s">
        <v>251</v>
      </c>
      <c r="F76" s="53">
        <v>7416390127</v>
      </c>
      <c r="G76" s="26"/>
    </row>
    <row r="77" spans="2:7" ht="20.100000000000001" customHeight="1">
      <c r="B77" s="53">
        <v>5</v>
      </c>
      <c r="C77" s="53">
        <v>2996</v>
      </c>
      <c r="D77" s="54" t="s">
        <v>346</v>
      </c>
      <c r="E77" s="53" t="s">
        <v>251</v>
      </c>
      <c r="F77" s="53">
        <v>8142888477</v>
      </c>
      <c r="G77" s="26"/>
    </row>
    <row r="78" spans="2:7" ht="20.100000000000001" customHeight="1">
      <c r="B78" s="25"/>
      <c r="C78" s="25"/>
      <c r="D78" s="25"/>
      <c r="E78" s="26"/>
      <c r="F78" s="26"/>
      <c r="G78" s="26"/>
    </row>
    <row r="79" spans="2:7" ht="20.100000000000001" customHeight="1">
      <c r="B79" s="25"/>
      <c r="C79" s="25"/>
      <c r="D79" s="57" t="s">
        <v>414</v>
      </c>
      <c r="E79" s="57">
        <v>41</v>
      </c>
      <c r="F79" s="26"/>
      <c r="G79" s="26"/>
    </row>
    <row r="80" spans="2:7" ht="16.5" customHeight="1">
      <c r="B80" s="25"/>
      <c r="C80" s="25"/>
      <c r="D80" s="57" t="s">
        <v>198</v>
      </c>
      <c r="E80" s="57">
        <v>2</v>
      </c>
      <c r="F80" s="26"/>
      <c r="G80" s="26"/>
    </row>
    <row r="81" spans="2:7" ht="16.5" customHeight="1">
      <c r="B81" s="25"/>
      <c r="C81" s="25"/>
      <c r="D81" s="57" t="s">
        <v>234</v>
      </c>
      <c r="E81" s="57">
        <v>6</v>
      </c>
      <c r="F81" s="26"/>
    </row>
    <row r="82" spans="2:7" ht="16.5" customHeight="1">
      <c r="B82" s="25"/>
      <c r="C82" s="25"/>
      <c r="D82" s="57" t="s">
        <v>341</v>
      </c>
      <c r="E82" s="57">
        <v>2</v>
      </c>
      <c r="F82" s="26"/>
      <c r="G82" s="26"/>
    </row>
    <row r="83" spans="2:7" ht="16.5" customHeight="1">
      <c r="B83" s="25"/>
      <c r="C83" s="25"/>
      <c r="D83" s="57" t="s">
        <v>343</v>
      </c>
      <c r="E83" s="57">
        <v>11</v>
      </c>
      <c r="F83" s="26"/>
      <c r="G83" s="26"/>
    </row>
    <row r="84" spans="2:7" ht="16.5" customHeight="1">
      <c r="B84" s="25"/>
      <c r="C84" s="25"/>
      <c r="D84" s="57" t="s">
        <v>347</v>
      </c>
      <c r="E84" s="57">
        <v>5</v>
      </c>
      <c r="F84" s="26"/>
      <c r="G84" s="26"/>
    </row>
    <row r="85" spans="2:7" ht="16.5" customHeight="1">
      <c r="B85" s="25"/>
      <c r="C85" s="25"/>
      <c r="D85" s="57"/>
      <c r="E85" s="57">
        <f>SUM(E79:E84)</f>
        <v>67</v>
      </c>
      <c r="F85" s="26"/>
      <c r="G85" s="26"/>
    </row>
    <row r="86" spans="2:7" ht="20.100000000000001" customHeight="1">
      <c r="B86" s="25"/>
      <c r="C86" s="25"/>
      <c r="D86" s="25"/>
      <c r="E86" s="26"/>
      <c r="F86" s="26"/>
      <c r="G86" s="26"/>
    </row>
    <row r="87" spans="2:7" ht="20.100000000000001" customHeight="1">
      <c r="B87" s="25"/>
      <c r="C87" s="25"/>
      <c r="D87" s="14" t="s">
        <v>337</v>
      </c>
      <c r="E87" s="5" t="s">
        <v>283</v>
      </c>
      <c r="F87" s="26"/>
      <c r="G87" s="26"/>
    </row>
    <row r="88" spans="2:7" ht="20.100000000000001" customHeight="1">
      <c r="B88" s="25"/>
      <c r="C88" s="25"/>
      <c r="D88" s="25"/>
      <c r="E88" s="26"/>
      <c r="F88" s="26"/>
      <c r="G88" s="26"/>
    </row>
  </sheetData>
  <mergeCells count="4">
    <mergeCell ref="B1:G1"/>
    <mergeCell ref="B2:G2"/>
    <mergeCell ref="B72:F72"/>
    <mergeCell ref="B3:G3"/>
  </mergeCells>
  <conditionalFormatting sqref="C20:C21">
    <cfRule type="duplicateValues" dxfId="19" priority="1"/>
  </conditionalFormatting>
  <conditionalFormatting sqref="C31:C32">
    <cfRule type="duplicateValues" dxfId="18" priority="2"/>
  </conditionalFormatting>
  <pageMargins left="0.39370078740157483" right="0.39370078740157483" top="0.39370078740157483" bottom="0.39370078740157483" header="0.31496062992125984" footer="0.31496062992125984"/>
  <pageSetup paperSize="9" scale="9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4"/>
  <sheetViews>
    <sheetView topLeftCell="A76" workbookViewId="0">
      <selection activeCell="C85" sqref="C85"/>
    </sheetView>
  </sheetViews>
  <sheetFormatPr defaultRowHeight="14.4"/>
  <cols>
    <col min="1" max="1" width="5" customWidth="1"/>
    <col min="3" max="3" width="34.109375" bestFit="1" customWidth="1"/>
    <col min="4" max="4" width="27.5546875" bestFit="1" customWidth="1"/>
    <col min="5" max="5" width="14.33203125" bestFit="1" customWidth="1"/>
    <col min="6" max="6" width="12.44140625" bestFit="1" customWidth="1"/>
    <col min="7" max="7" width="12.44140625" customWidth="1"/>
    <col min="8" max="8" width="9.109375" style="1"/>
  </cols>
  <sheetData>
    <row r="1" spans="1:7" ht="20.100000000000001" customHeight="1">
      <c r="A1" s="558" t="s">
        <v>47</v>
      </c>
      <c r="B1" s="558"/>
      <c r="C1" s="558"/>
      <c r="D1" s="558"/>
      <c r="E1" s="558"/>
      <c r="F1" s="558"/>
    </row>
    <row r="2" spans="1:7" ht="20.100000000000001" customHeight="1">
      <c r="A2" s="558" t="s">
        <v>274</v>
      </c>
      <c r="B2" s="558"/>
      <c r="C2" s="558"/>
      <c r="D2" s="558"/>
      <c r="E2" s="558"/>
      <c r="F2" s="558"/>
    </row>
    <row r="3" spans="1:7" ht="20.100000000000001" customHeight="1">
      <c r="A3" s="522" t="s">
        <v>418</v>
      </c>
      <c r="B3" s="522"/>
      <c r="C3" s="522"/>
      <c r="D3" s="522"/>
      <c r="E3" s="522"/>
      <c r="F3" s="522"/>
      <c r="G3" s="522"/>
    </row>
    <row r="4" spans="1:7" ht="20.100000000000001" customHeight="1">
      <c r="A4" s="2" t="s">
        <v>1</v>
      </c>
      <c r="B4" s="2" t="s">
        <v>216</v>
      </c>
      <c r="C4" s="2" t="s">
        <v>3</v>
      </c>
      <c r="D4" s="2" t="s">
        <v>4</v>
      </c>
      <c r="E4" s="2" t="s">
        <v>8</v>
      </c>
      <c r="F4" s="3" t="s">
        <v>394</v>
      </c>
      <c r="G4" s="1"/>
    </row>
    <row r="5" spans="1:7" ht="20.100000000000001" customHeight="1">
      <c r="A5" s="5">
        <v>1</v>
      </c>
      <c r="B5" s="5">
        <v>1251</v>
      </c>
      <c r="C5" s="6" t="s">
        <v>9</v>
      </c>
      <c r="D5" s="7" t="s">
        <v>257</v>
      </c>
      <c r="E5" s="7">
        <v>9840850744</v>
      </c>
      <c r="F5" s="8">
        <v>42387</v>
      </c>
      <c r="G5">
        <f ca="1">DATEDIF(F5,TODAY(),"Y")</f>
        <v>10</v>
      </c>
    </row>
    <row r="6" spans="1:7" ht="20.100000000000001" customHeight="1">
      <c r="A6" s="5">
        <v>2</v>
      </c>
      <c r="B6" s="5">
        <v>308</v>
      </c>
      <c r="C6" s="6" t="s">
        <v>299</v>
      </c>
      <c r="D6" s="7" t="s">
        <v>19</v>
      </c>
      <c r="E6" s="7">
        <v>9908823834</v>
      </c>
      <c r="F6" s="8">
        <v>39259</v>
      </c>
      <c r="G6">
        <f t="shared" ref="G6:G51" ca="1" si="0">DATEDIF(F6,TODAY(),"Y")</f>
        <v>18</v>
      </c>
    </row>
    <row r="7" spans="1:7" ht="20.100000000000001" customHeight="1">
      <c r="A7" s="5">
        <v>3</v>
      </c>
      <c r="B7" s="5">
        <v>1182</v>
      </c>
      <c r="C7" s="9" t="s">
        <v>26</v>
      </c>
      <c r="D7" s="10" t="s">
        <v>396</v>
      </c>
      <c r="E7" s="7">
        <v>9676354404</v>
      </c>
      <c r="F7" s="11">
        <v>42193</v>
      </c>
      <c r="G7">
        <f t="shared" ca="1" si="0"/>
        <v>10</v>
      </c>
    </row>
    <row r="8" spans="1:7" ht="20.100000000000001" customHeight="1">
      <c r="A8" s="5">
        <v>4</v>
      </c>
      <c r="B8" s="5">
        <v>523</v>
      </c>
      <c r="C8" s="12" t="s">
        <v>382</v>
      </c>
      <c r="D8" s="10" t="s">
        <v>180</v>
      </c>
      <c r="E8" s="5">
        <v>9441536410</v>
      </c>
      <c r="F8" s="13">
        <v>45694</v>
      </c>
      <c r="G8">
        <f t="shared" ca="1" si="0"/>
        <v>1</v>
      </c>
    </row>
    <row r="9" spans="1:7" ht="20.100000000000001" customHeight="1">
      <c r="A9" s="5">
        <v>5</v>
      </c>
      <c r="B9" s="5">
        <v>2827</v>
      </c>
      <c r="C9" s="14" t="s">
        <v>279</v>
      </c>
      <c r="D9" s="10" t="s">
        <v>180</v>
      </c>
      <c r="E9" s="7">
        <v>8085575111</v>
      </c>
      <c r="F9" s="13">
        <v>45495</v>
      </c>
      <c r="G9">
        <f t="shared" ca="1" si="0"/>
        <v>1</v>
      </c>
    </row>
    <row r="10" spans="1:7" ht="20.100000000000001" customHeight="1">
      <c r="A10" s="5">
        <v>6</v>
      </c>
      <c r="B10" s="5">
        <v>312</v>
      </c>
      <c r="C10" s="6" t="s">
        <v>42</v>
      </c>
      <c r="D10" s="15" t="s">
        <v>180</v>
      </c>
      <c r="E10" s="7">
        <v>8297208489</v>
      </c>
      <c r="F10" s="11">
        <v>40206</v>
      </c>
      <c r="G10">
        <f t="shared" ca="1" si="0"/>
        <v>16</v>
      </c>
    </row>
    <row r="11" spans="1:7" ht="20.100000000000001" customHeight="1">
      <c r="A11" s="5">
        <v>7</v>
      </c>
      <c r="B11" s="5">
        <v>2090</v>
      </c>
      <c r="C11" s="16" t="s">
        <v>33</v>
      </c>
      <c r="D11" s="10" t="s">
        <v>180</v>
      </c>
      <c r="E11" s="7">
        <v>9441540580</v>
      </c>
      <c r="F11" s="11">
        <v>44107</v>
      </c>
      <c r="G11">
        <f t="shared" ca="1" si="0"/>
        <v>5</v>
      </c>
    </row>
    <row r="12" spans="1:7" ht="20.100000000000001" customHeight="1">
      <c r="A12" s="5">
        <v>8</v>
      </c>
      <c r="B12" s="5">
        <v>2490</v>
      </c>
      <c r="C12" s="14" t="s">
        <v>83</v>
      </c>
      <c r="D12" s="7" t="s">
        <v>157</v>
      </c>
      <c r="E12" s="5">
        <v>9848129660</v>
      </c>
      <c r="F12" s="17">
        <v>45084</v>
      </c>
      <c r="G12">
        <f t="shared" ca="1" si="0"/>
        <v>2</v>
      </c>
    </row>
    <row r="13" spans="1:7" ht="20.100000000000001" customHeight="1">
      <c r="A13" s="5">
        <v>9</v>
      </c>
      <c r="B13" s="5">
        <v>2499</v>
      </c>
      <c r="C13" s="12" t="s">
        <v>221</v>
      </c>
      <c r="D13" s="7" t="s">
        <v>157</v>
      </c>
      <c r="E13" s="5">
        <v>9994476533</v>
      </c>
      <c r="F13" s="13">
        <v>45103</v>
      </c>
      <c r="G13">
        <f t="shared" ca="1" si="0"/>
        <v>2</v>
      </c>
    </row>
    <row r="14" spans="1:7" ht="20.100000000000001" customHeight="1">
      <c r="A14" s="5">
        <v>10</v>
      </c>
      <c r="B14" s="5">
        <v>2501</v>
      </c>
      <c r="C14" s="14" t="s">
        <v>101</v>
      </c>
      <c r="D14" s="7" t="s">
        <v>157</v>
      </c>
      <c r="E14" s="5">
        <v>9848052474</v>
      </c>
      <c r="F14" s="13">
        <v>45103</v>
      </c>
      <c r="G14">
        <f t="shared" ca="1" si="0"/>
        <v>2</v>
      </c>
    </row>
    <row r="15" spans="1:7" ht="20.100000000000001" customHeight="1">
      <c r="A15" s="5">
        <v>11</v>
      </c>
      <c r="B15" s="5">
        <v>2541</v>
      </c>
      <c r="C15" s="16" t="s">
        <v>127</v>
      </c>
      <c r="D15" s="7" t="s">
        <v>157</v>
      </c>
      <c r="E15" s="5">
        <v>7981738522</v>
      </c>
      <c r="F15" s="17">
        <v>45139</v>
      </c>
      <c r="G15">
        <f t="shared" ca="1" si="0"/>
        <v>2</v>
      </c>
    </row>
    <row r="16" spans="1:7" ht="20.100000000000001" customHeight="1">
      <c r="A16" s="5">
        <v>12</v>
      </c>
      <c r="B16" s="10">
        <v>2689</v>
      </c>
      <c r="C16" s="9" t="s">
        <v>154</v>
      </c>
      <c r="D16" s="7" t="s">
        <v>157</v>
      </c>
      <c r="E16" s="18">
        <v>7006157037</v>
      </c>
      <c r="F16" s="17">
        <v>45289</v>
      </c>
      <c r="G16">
        <f t="shared" ca="1" si="0"/>
        <v>2</v>
      </c>
    </row>
    <row r="17" spans="1:7" ht="20.100000000000001" customHeight="1">
      <c r="A17" s="5">
        <v>13</v>
      </c>
      <c r="B17" s="5">
        <v>2947</v>
      </c>
      <c r="C17" s="12" t="s">
        <v>204</v>
      </c>
      <c r="D17" s="7" t="s">
        <v>157</v>
      </c>
      <c r="E17" s="5">
        <v>9032045840</v>
      </c>
      <c r="F17" s="17">
        <v>45632</v>
      </c>
      <c r="G17">
        <f t="shared" ca="1" si="0"/>
        <v>1</v>
      </c>
    </row>
    <row r="18" spans="1:7" ht="20.100000000000001" customHeight="1">
      <c r="A18" s="5">
        <v>14</v>
      </c>
      <c r="B18" s="5">
        <v>540</v>
      </c>
      <c r="C18" s="6" t="s">
        <v>378</v>
      </c>
      <c r="D18" s="10" t="s">
        <v>68</v>
      </c>
      <c r="E18" s="7">
        <v>9550367172</v>
      </c>
      <c r="F18" s="11">
        <v>40032</v>
      </c>
      <c r="G18">
        <f t="shared" ca="1" si="0"/>
        <v>16</v>
      </c>
    </row>
    <row r="19" spans="1:7" ht="20.100000000000001" customHeight="1">
      <c r="A19" s="5">
        <v>15</v>
      </c>
      <c r="B19" s="19" t="s">
        <v>397</v>
      </c>
      <c r="C19" s="9" t="s">
        <v>67</v>
      </c>
      <c r="D19" s="10" t="s">
        <v>68</v>
      </c>
      <c r="E19" s="5">
        <v>9614547390</v>
      </c>
      <c r="F19" s="11">
        <v>45014</v>
      </c>
      <c r="G19">
        <f t="shared" ca="1" si="0"/>
        <v>3</v>
      </c>
    </row>
    <row r="20" spans="1:7" ht="20.100000000000001" customHeight="1">
      <c r="A20" s="5">
        <v>16</v>
      </c>
      <c r="B20" s="5">
        <v>2454</v>
      </c>
      <c r="C20" s="16" t="s">
        <v>318</v>
      </c>
      <c r="D20" s="10" t="s">
        <v>68</v>
      </c>
      <c r="E20" s="5">
        <v>7729990303</v>
      </c>
      <c r="F20" s="11">
        <v>45047</v>
      </c>
      <c r="G20">
        <f t="shared" ca="1" si="0"/>
        <v>2</v>
      </c>
    </row>
    <row r="21" spans="1:7" ht="20.100000000000001" customHeight="1">
      <c r="A21" s="5">
        <v>17</v>
      </c>
      <c r="B21" s="5">
        <v>2502</v>
      </c>
      <c r="C21" s="14" t="s">
        <v>359</v>
      </c>
      <c r="D21" s="10" t="s">
        <v>68</v>
      </c>
      <c r="E21" s="5">
        <v>9600605782</v>
      </c>
      <c r="F21" s="13">
        <v>45105</v>
      </c>
      <c r="G21">
        <f t="shared" ca="1" si="0"/>
        <v>2</v>
      </c>
    </row>
    <row r="22" spans="1:7" ht="20.100000000000001" customHeight="1">
      <c r="A22" s="5">
        <v>18</v>
      </c>
      <c r="B22" s="5">
        <v>2514</v>
      </c>
      <c r="C22" s="14" t="s">
        <v>113</v>
      </c>
      <c r="D22" s="10" t="s">
        <v>68</v>
      </c>
      <c r="E22" s="5">
        <v>9500312191</v>
      </c>
      <c r="F22" s="13">
        <v>45117</v>
      </c>
      <c r="G22">
        <f t="shared" ca="1" si="0"/>
        <v>2</v>
      </c>
    </row>
    <row r="23" spans="1:7" ht="20.100000000000001" customHeight="1">
      <c r="A23" s="5">
        <v>19</v>
      </c>
      <c r="B23" s="5">
        <v>2519</v>
      </c>
      <c r="C23" s="14" t="s">
        <v>120</v>
      </c>
      <c r="D23" s="10" t="s">
        <v>68</v>
      </c>
      <c r="E23" s="10">
        <v>8978116834</v>
      </c>
      <c r="F23" s="17">
        <v>45121</v>
      </c>
      <c r="G23">
        <f t="shared" ca="1" si="0"/>
        <v>2</v>
      </c>
    </row>
    <row r="24" spans="1:7" ht="20.100000000000001" customHeight="1">
      <c r="A24" s="5">
        <v>20</v>
      </c>
      <c r="B24" s="10">
        <v>2637</v>
      </c>
      <c r="C24" s="9" t="s">
        <v>261</v>
      </c>
      <c r="D24" s="10" t="s">
        <v>68</v>
      </c>
      <c r="E24" s="5">
        <v>9706631085</v>
      </c>
      <c r="F24" s="13">
        <v>45245</v>
      </c>
      <c r="G24">
        <f t="shared" ca="1" si="0"/>
        <v>2</v>
      </c>
    </row>
    <row r="25" spans="1:7" ht="20.100000000000001" customHeight="1">
      <c r="A25" s="5">
        <v>21</v>
      </c>
      <c r="B25" s="5">
        <v>2812</v>
      </c>
      <c r="C25" s="20" t="s">
        <v>301</v>
      </c>
      <c r="D25" s="10" t="s">
        <v>68</v>
      </c>
      <c r="E25" s="5">
        <v>7731063177</v>
      </c>
      <c r="F25" s="13">
        <v>45488</v>
      </c>
      <c r="G25">
        <f t="shared" ca="1" si="0"/>
        <v>1</v>
      </c>
    </row>
    <row r="26" spans="1:7" ht="20.100000000000001" customHeight="1">
      <c r="A26" s="5">
        <v>22</v>
      </c>
      <c r="B26" s="5">
        <v>2934</v>
      </c>
      <c r="C26" s="12" t="s">
        <v>193</v>
      </c>
      <c r="D26" s="10" t="s">
        <v>68</v>
      </c>
      <c r="E26" s="18">
        <v>9440664462</v>
      </c>
      <c r="F26" s="17">
        <v>45600</v>
      </c>
      <c r="G26">
        <f t="shared" ca="1" si="0"/>
        <v>1</v>
      </c>
    </row>
    <row r="27" spans="1:7" ht="20.100000000000001" customHeight="1">
      <c r="A27" s="5">
        <v>23</v>
      </c>
      <c r="B27" s="5">
        <v>3080</v>
      </c>
      <c r="C27" s="12" t="s">
        <v>398</v>
      </c>
      <c r="D27" s="10" t="s">
        <v>68</v>
      </c>
      <c r="E27" s="18">
        <v>6300921477</v>
      </c>
      <c r="F27" s="17" t="s">
        <v>399</v>
      </c>
      <c r="G27">
        <v>0</v>
      </c>
    </row>
    <row r="28" spans="1:7" ht="20.100000000000001" customHeight="1">
      <c r="A28" s="5">
        <v>24</v>
      </c>
      <c r="B28" s="237" t="s">
        <v>420</v>
      </c>
      <c r="C28" s="12" t="s">
        <v>415</v>
      </c>
      <c r="D28" s="10" t="s">
        <v>68</v>
      </c>
      <c r="E28" s="18">
        <v>9492688417</v>
      </c>
      <c r="F28" s="17" t="s">
        <v>421</v>
      </c>
      <c r="G28">
        <v>0</v>
      </c>
    </row>
    <row r="29" spans="1:7" ht="20.100000000000001" customHeight="1">
      <c r="A29" s="5">
        <v>25</v>
      </c>
      <c r="B29" s="5">
        <v>1181</v>
      </c>
      <c r="C29" s="9" t="s">
        <v>55</v>
      </c>
      <c r="D29" s="10" t="s">
        <v>68</v>
      </c>
      <c r="E29" s="7">
        <v>9493670612</v>
      </c>
      <c r="F29" s="11">
        <v>42193</v>
      </c>
      <c r="G29">
        <f t="shared" ca="1" si="0"/>
        <v>10</v>
      </c>
    </row>
    <row r="30" spans="1:7" ht="20.100000000000001" customHeight="1">
      <c r="A30" s="5">
        <v>26</v>
      </c>
      <c r="B30" s="5">
        <v>1243</v>
      </c>
      <c r="C30" s="9" t="s">
        <v>58</v>
      </c>
      <c r="D30" s="10" t="s">
        <v>68</v>
      </c>
      <c r="E30" s="7">
        <v>8790166779</v>
      </c>
      <c r="F30" s="11">
        <v>42354</v>
      </c>
      <c r="G30">
        <f t="shared" ca="1" si="0"/>
        <v>10</v>
      </c>
    </row>
    <row r="31" spans="1:7" ht="20.100000000000001" customHeight="1">
      <c r="A31" s="5">
        <v>27</v>
      </c>
      <c r="B31" s="5">
        <v>2432</v>
      </c>
      <c r="C31" s="16" t="s">
        <v>280</v>
      </c>
      <c r="D31" s="10" t="s">
        <v>68</v>
      </c>
      <c r="E31" s="5">
        <v>7093243607</v>
      </c>
      <c r="F31" s="13">
        <v>44982</v>
      </c>
      <c r="G31">
        <f t="shared" ca="1" si="0"/>
        <v>3</v>
      </c>
    </row>
    <row r="32" spans="1:7" ht="20.100000000000001" customHeight="1">
      <c r="A32" s="5">
        <v>28</v>
      </c>
      <c r="B32" s="5">
        <v>2728</v>
      </c>
      <c r="C32" s="14" t="s">
        <v>384</v>
      </c>
      <c r="D32" s="10" t="s">
        <v>68</v>
      </c>
      <c r="E32" s="5">
        <v>7981960066</v>
      </c>
      <c r="F32" s="13">
        <v>45385</v>
      </c>
      <c r="G32">
        <f t="shared" ca="1" si="0"/>
        <v>2</v>
      </c>
    </row>
    <row r="33" spans="1:8" ht="20.100000000000001" customHeight="1">
      <c r="A33" s="5">
        <v>29</v>
      </c>
      <c r="B33" s="5">
        <v>2765</v>
      </c>
      <c r="C33" s="16" t="s">
        <v>168</v>
      </c>
      <c r="D33" s="10" t="s">
        <v>68</v>
      </c>
      <c r="E33" s="5">
        <v>9788682940</v>
      </c>
      <c r="F33" s="17">
        <v>45453</v>
      </c>
      <c r="G33">
        <f t="shared" ca="1" si="0"/>
        <v>1</v>
      </c>
    </row>
    <row r="34" spans="1:8" ht="20.100000000000001" customHeight="1">
      <c r="A34" s="5">
        <v>30</v>
      </c>
      <c r="B34" s="5">
        <v>2512</v>
      </c>
      <c r="C34" s="16" t="s">
        <v>189</v>
      </c>
      <c r="D34" s="10" t="s">
        <v>68</v>
      </c>
      <c r="E34" s="5">
        <v>9292709507</v>
      </c>
      <c r="F34" s="23">
        <v>45117</v>
      </c>
      <c r="G34">
        <f t="shared" ca="1" si="0"/>
        <v>2</v>
      </c>
    </row>
    <row r="35" spans="1:8" ht="20.100000000000001" customHeight="1">
      <c r="A35" s="5">
        <v>31</v>
      </c>
      <c r="B35" s="5">
        <v>2898</v>
      </c>
      <c r="C35" s="12" t="s">
        <v>190</v>
      </c>
      <c r="D35" s="10" t="s">
        <v>68</v>
      </c>
      <c r="E35" s="5">
        <v>9989895732</v>
      </c>
      <c r="F35" s="17">
        <v>45531</v>
      </c>
      <c r="G35">
        <f t="shared" ca="1" si="0"/>
        <v>1</v>
      </c>
    </row>
    <row r="36" spans="1:8" ht="20.100000000000001" customHeight="1">
      <c r="A36" s="5">
        <v>32</v>
      </c>
      <c r="B36" s="5">
        <v>2965</v>
      </c>
      <c r="C36" s="12" t="s">
        <v>365</v>
      </c>
      <c r="D36" s="5" t="s">
        <v>68</v>
      </c>
      <c r="E36" s="18">
        <v>9642674547</v>
      </c>
      <c r="F36" s="17">
        <v>45663</v>
      </c>
      <c r="G36">
        <f t="shared" ca="1" si="0"/>
        <v>1</v>
      </c>
    </row>
    <row r="37" spans="1:8" ht="20.100000000000001" customHeight="1">
      <c r="A37" s="5">
        <v>33</v>
      </c>
      <c r="B37" s="5">
        <v>2977</v>
      </c>
      <c r="C37" s="12" t="s">
        <v>367</v>
      </c>
      <c r="D37" s="5" t="s">
        <v>68</v>
      </c>
      <c r="E37" s="18">
        <v>9039466727</v>
      </c>
      <c r="F37" s="17">
        <v>45675</v>
      </c>
      <c r="G37">
        <f t="shared" ca="1" si="0"/>
        <v>1</v>
      </c>
    </row>
    <row r="38" spans="1:8" ht="20.100000000000001" customHeight="1">
      <c r="A38" s="5">
        <v>34</v>
      </c>
      <c r="B38" s="5">
        <v>3038</v>
      </c>
      <c r="C38" s="12" t="s">
        <v>385</v>
      </c>
      <c r="D38" s="5" t="s">
        <v>68</v>
      </c>
      <c r="E38" s="18">
        <v>8330983764</v>
      </c>
      <c r="F38" s="17">
        <v>45742</v>
      </c>
      <c r="G38">
        <f t="shared" ca="1" si="0"/>
        <v>1</v>
      </c>
    </row>
    <row r="39" spans="1:8" ht="20.100000000000001" customHeight="1">
      <c r="A39" s="5">
        <v>35</v>
      </c>
      <c r="B39" s="5">
        <v>3073</v>
      </c>
      <c r="C39" s="12" t="s">
        <v>400</v>
      </c>
      <c r="D39" s="5" t="s">
        <v>68</v>
      </c>
      <c r="E39" s="18">
        <v>9885657789</v>
      </c>
      <c r="F39" s="18" t="s">
        <v>401</v>
      </c>
      <c r="G39">
        <v>0</v>
      </c>
    </row>
    <row r="40" spans="1:8" ht="20.100000000000001" customHeight="1">
      <c r="A40" s="5">
        <v>36</v>
      </c>
      <c r="B40" s="5">
        <v>3081</v>
      </c>
      <c r="C40" s="12" t="s">
        <v>419</v>
      </c>
      <c r="D40" s="5" t="s">
        <v>68</v>
      </c>
      <c r="E40" s="18">
        <v>7338323477</v>
      </c>
      <c r="F40" s="18" t="s">
        <v>403</v>
      </c>
      <c r="G40">
        <v>0</v>
      </c>
    </row>
    <row r="41" spans="1:8" ht="20.100000000000001" customHeight="1">
      <c r="A41" s="5">
        <v>37</v>
      </c>
      <c r="B41" s="5">
        <v>3084</v>
      </c>
      <c r="C41" s="12" t="s">
        <v>404</v>
      </c>
      <c r="D41" s="5" t="s">
        <v>68</v>
      </c>
      <c r="E41" s="18">
        <v>9492617314</v>
      </c>
      <c r="F41" s="18" t="s">
        <v>405</v>
      </c>
      <c r="G41">
        <v>0</v>
      </c>
    </row>
    <row r="42" spans="1:8" ht="20.100000000000001" customHeight="1">
      <c r="A42" s="5">
        <v>38</v>
      </c>
      <c r="B42" s="5">
        <v>2921</v>
      </c>
      <c r="C42" s="12" t="s">
        <v>364</v>
      </c>
      <c r="D42" s="10" t="s">
        <v>192</v>
      </c>
      <c r="E42" s="18">
        <v>9014766760</v>
      </c>
      <c r="F42" s="17">
        <v>45580</v>
      </c>
      <c r="G42">
        <f t="shared" ca="1" si="0"/>
        <v>1</v>
      </c>
    </row>
    <row r="43" spans="1:8" ht="20.100000000000001" customHeight="1">
      <c r="A43" s="5">
        <v>39</v>
      </c>
      <c r="B43" s="123">
        <v>3089</v>
      </c>
      <c r="C43" s="69" t="s">
        <v>416</v>
      </c>
      <c r="D43" s="123" t="s">
        <v>444</v>
      </c>
      <c r="E43" s="123">
        <v>8790242128</v>
      </c>
      <c r="F43" s="96">
        <v>45826</v>
      </c>
      <c r="G43">
        <f t="shared" ca="1" si="0"/>
        <v>0</v>
      </c>
    </row>
    <row r="44" spans="1:8" ht="20.100000000000001" customHeight="1">
      <c r="A44" s="5">
        <v>40</v>
      </c>
      <c r="B44" s="5">
        <v>3129</v>
      </c>
      <c r="C44" s="12" t="s">
        <v>422</v>
      </c>
      <c r="D44" s="123" t="s">
        <v>444</v>
      </c>
      <c r="E44" s="18">
        <v>9491432819</v>
      </c>
      <c r="F44" s="17">
        <v>45845</v>
      </c>
      <c r="G44">
        <f t="shared" ca="1" si="0"/>
        <v>0</v>
      </c>
    </row>
    <row r="45" spans="1:8" ht="20.100000000000001" customHeight="1">
      <c r="A45" s="5">
        <v>41</v>
      </c>
      <c r="B45" s="5">
        <v>2936</v>
      </c>
      <c r="C45" s="12" t="s">
        <v>197</v>
      </c>
      <c r="D45" s="10" t="s">
        <v>198</v>
      </c>
      <c r="E45" s="18">
        <v>8125544167</v>
      </c>
      <c r="F45" s="17">
        <v>45600</v>
      </c>
      <c r="G45">
        <f t="shared" ca="1" si="0"/>
        <v>1</v>
      </c>
    </row>
    <row r="46" spans="1:8" ht="20.100000000000001" customHeight="1">
      <c r="A46" s="5">
        <v>42</v>
      </c>
      <c r="B46" s="5">
        <v>2950</v>
      </c>
      <c r="C46" s="12" t="s">
        <v>390</v>
      </c>
      <c r="D46" s="10" t="s">
        <v>198</v>
      </c>
      <c r="E46" s="5">
        <v>9000024070</v>
      </c>
      <c r="F46" s="17">
        <v>45638</v>
      </c>
      <c r="G46">
        <f t="shared" ca="1" si="0"/>
        <v>1</v>
      </c>
    </row>
    <row r="47" spans="1:8" ht="20.100000000000001" customHeight="1">
      <c r="A47" s="5">
        <v>43</v>
      </c>
      <c r="B47" s="5">
        <v>633</v>
      </c>
      <c r="C47" s="16" t="s">
        <v>305</v>
      </c>
      <c r="D47" s="5" t="s">
        <v>320</v>
      </c>
      <c r="E47" s="5">
        <v>9494678628</v>
      </c>
      <c r="F47" s="13">
        <v>40380</v>
      </c>
      <c r="G47">
        <f t="shared" ca="1" si="0"/>
        <v>15</v>
      </c>
      <c r="H47" s="1">
        <v>82</v>
      </c>
    </row>
    <row r="48" spans="1:8" ht="20.100000000000001" customHeight="1">
      <c r="A48" s="5">
        <v>44</v>
      </c>
      <c r="B48" s="5">
        <v>2285</v>
      </c>
      <c r="C48" s="16" t="s">
        <v>306</v>
      </c>
      <c r="D48" s="5" t="s">
        <v>321</v>
      </c>
      <c r="E48" s="5">
        <v>9640066261</v>
      </c>
      <c r="F48" s="13">
        <v>44718</v>
      </c>
      <c r="G48">
        <f t="shared" ca="1" si="0"/>
        <v>3</v>
      </c>
      <c r="H48" s="1">
        <v>54</v>
      </c>
    </row>
    <row r="49" spans="1:9" ht="20.100000000000001" customHeight="1">
      <c r="A49" s="5">
        <v>45</v>
      </c>
      <c r="B49" s="5">
        <v>2826</v>
      </c>
      <c r="C49" s="14" t="s">
        <v>178</v>
      </c>
      <c r="D49" s="5" t="s">
        <v>62</v>
      </c>
      <c r="E49" s="5">
        <v>9542588470</v>
      </c>
      <c r="F49" s="13">
        <v>45495</v>
      </c>
      <c r="G49">
        <f t="shared" ca="1" si="0"/>
        <v>1</v>
      </c>
      <c r="H49" s="1">
        <v>25</v>
      </c>
    </row>
    <row r="50" spans="1:9" ht="20.100000000000001" customHeight="1">
      <c r="A50" s="5">
        <v>46</v>
      </c>
      <c r="B50" s="5">
        <v>2925</v>
      </c>
      <c r="C50" s="12" t="s">
        <v>369</v>
      </c>
      <c r="D50" s="5" t="s">
        <v>62</v>
      </c>
      <c r="E50" s="18">
        <v>7995794652</v>
      </c>
      <c r="F50" s="17">
        <v>45742</v>
      </c>
      <c r="G50">
        <f t="shared" ca="1" si="0"/>
        <v>1</v>
      </c>
      <c r="H50" s="1">
        <f>SUM(H47:H49)</f>
        <v>161</v>
      </c>
      <c r="I50">
        <f>1600*3</f>
        <v>4800</v>
      </c>
    </row>
    <row r="51" spans="1:9" ht="20.100000000000001" customHeight="1">
      <c r="A51" s="5">
        <v>47</v>
      </c>
      <c r="B51" s="5">
        <v>3052</v>
      </c>
      <c r="C51" s="12" t="s">
        <v>202</v>
      </c>
      <c r="D51" s="5" t="s">
        <v>372</v>
      </c>
      <c r="E51" s="18">
        <v>7331142998</v>
      </c>
      <c r="F51" s="17">
        <v>45778</v>
      </c>
      <c r="G51">
        <f t="shared" ca="1" si="0"/>
        <v>0</v>
      </c>
    </row>
    <row r="52" spans="1:9" ht="20.100000000000001" customHeight="1">
      <c r="A52" s="60"/>
      <c r="B52" s="238"/>
      <c r="C52" s="239"/>
      <c r="D52" s="238"/>
      <c r="E52" s="240"/>
      <c r="F52" s="241"/>
    </row>
    <row r="53" spans="1:9" ht="20.100000000000001" customHeight="1">
      <c r="A53" s="242">
        <v>48</v>
      </c>
      <c r="B53" s="243">
        <v>30410</v>
      </c>
      <c r="C53" s="244" t="s">
        <v>408</v>
      </c>
      <c r="D53" s="242" t="s">
        <v>228</v>
      </c>
      <c r="E53" s="242">
        <v>7995622962</v>
      </c>
      <c r="F53" s="245">
        <v>44928</v>
      </c>
    </row>
    <row r="54" spans="1:9" ht="20.100000000000001" customHeight="1">
      <c r="A54" s="242">
        <v>49</v>
      </c>
      <c r="B54" s="243">
        <v>30744</v>
      </c>
      <c r="C54" s="244" t="s">
        <v>308</v>
      </c>
      <c r="D54" s="242" t="s">
        <v>309</v>
      </c>
      <c r="E54" s="242">
        <v>8790500801</v>
      </c>
      <c r="F54" s="246">
        <v>45071</v>
      </c>
    </row>
    <row r="55" spans="1:9" ht="20.100000000000001" customHeight="1">
      <c r="A55" s="565" t="s">
        <v>423</v>
      </c>
      <c r="B55" s="566"/>
      <c r="C55" s="566"/>
      <c r="D55" s="566"/>
      <c r="E55" s="566"/>
      <c r="F55" s="567"/>
    </row>
    <row r="56" spans="1:9" ht="20.100000000000001" customHeight="1">
      <c r="A56" s="5">
        <v>1</v>
      </c>
      <c r="B56" s="5">
        <v>30904</v>
      </c>
      <c r="C56" s="12" t="s">
        <v>406</v>
      </c>
      <c r="D56" s="5" t="s">
        <v>62</v>
      </c>
      <c r="E56" s="18">
        <v>8688928251</v>
      </c>
      <c r="F56" s="17">
        <v>45817</v>
      </c>
    </row>
    <row r="57" spans="1:9" ht="20.100000000000001" customHeight="1">
      <c r="A57" s="5">
        <v>2</v>
      </c>
      <c r="B57" s="5">
        <v>30917</v>
      </c>
      <c r="C57" s="12" t="s">
        <v>424</v>
      </c>
      <c r="D57" s="5" t="s">
        <v>62</v>
      </c>
      <c r="E57" s="18">
        <v>7075775397</v>
      </c>
      <c r="F57" s="17">
        <v>45831</v>
      </c>
    </row>
    <row r="58" spans="1:9" ht="20.100000000000001" customHeight="1">
      <c r="A58" s="5">
        <v>3</v>
      </c>
      <c r="B58" s="5">
        <v>30920</v>
      </c>
      <c r="C58" s="12" t="s">
        <v>425</v>
      </c>
      <c r="D58" s="5" t="s">
        <v>62</v>
      </c>
      <c r="E58" s="18">
        <v>7382266572</v>
      </c>
      <c r="F58" s="17">
        <v>45831</v>
      </c>
    </row>
    <row r="59" spans="1:9" ht="20.100000000000001" customHeight="1">
      <c r="A59" s="5">
        <v>4</v>
      </c>
      <c r="B59" s="5">
        <v>30934</v>
      </c>
      <c r="C59" s="12" t="s">
        <v>426</v>
      </c>
      <c r="D59" s="5" t="s">
        <v>62</v>
      </c>
      <c r="E59" s="18">
        <v>7569374895</v>
      </c>
      <c r="F59" s="17">
        <v>45834</v>
      </c>
    </row>
    <row r="60" spans="1:9" ht="20.100000000000001" customHeight="1">
      <c r="A60" s="5">
        <v>5</v>
      </c>
      <c r="B60" s="5">
        <v>30936</v>
      </c>
      <c r="C60" s="12" t="s">
        <v>427</v>
      </c>
      <c r="D60" s="5" t="s">
        <v>62</v>
      </c>
      <c r="E60" s="18">
        <v>8639469394</v>
      </c>
      <c r="F60" s="17">
        <v>45834</v>
      </c>
    </row>
    <row r="61" spans="1:9" ht="20.100000000000001" customHeight="1">
      <c r="A61" s="5">
        <v>6</v>
      </c>
      <c r="B61" s="5">
        <v>30940</v>
      </c>
      <c r="C61" s="12" t="s">
        <v>428</v>
      </c>
      <c r="D61" s="5" t="s">
        <v>62</v>
      </c>
      <c r="E61" s="18">
        <v>9573979580</v>
      </c>
      <c r="F61" s="17">
        <v>45834</v>
      </c>
    </row>
    <row r="62" spans="1:9" ht="20.100000000000001" customHeight="1">
      <c r="A62" s="5">
        <v>7</v>
      </c>
      <c r="B62" s="5">
        <v>30944</v>
      </c>
      <c r="C62" s="12" t="s">
        <v>429</v>
      </c>
      <c r="D62" s="5" t="s">
        <v>62</v>
      </c>
      <c r="E62" s="18">
        <v>8712118366</v>
      </c>
      <c r="F62" s="17">
        <v>45835</v>
      </c>
    </row>
    <row r="63" spans="1:9" ht="20.100000000000001" customHeight="1">
      <c r="A63" s="5">
        <v>8</v>
      </c>
      <c r="B63" s="5">
        <v>30945</v>
      </c>
      <c r="C63" s="12" t="s">
        <v>430</v>
      </c>
      <c r="D63" s="5" t="s">
        <v>62</v>
      </c>
      <c r="E63" s="18">
        <v>6304016136</v>
      </c>
      <c r="F63" s="17">
        <v>45835</v>
      </c>
    </row>
    <row r="64" spans="1:9" ht="20.100000000000001" customHeight="1">
      <c r="A64" s="5">
        <v>9</v>
      </c>
      <c r="B64" s="5">
        <v>30948</v>
      </c>
      <c r="C64" s="12" t="s">
        <v>431</v>
      </c>
      <c r="D64" s="5" t="s">
        <v>62</v>
      </c>
      <c r="E64" s="18">
        <v>8978224170</v>
      </c>
      <c r="F64" s="17">
        <v>45838</v>
      </c>
    </row>
    <row r="65" spans="1:6" ht="20.100000000000001" customHeight="1">
      <c r="A65" s="5">
        <v>10</v>
      </c>
      <c r="B65" s="5">
        <v>30949</v>
      </c>
      <c r="C65" s="12" t="s">
        <v>432</v>
      </c>
      <c r="D65" s="5" t="s">
        <v>62</v>
      </c>
      <c r="E65" s="18">
        <v>6281953609</v>
      </c>
      <c r="F65" s="17">
        <v>45838</v>
      </c>
    </row>
    <row r="66" spans="1:6" ht="20.100000000000001" customHeight="1">
      <c r="A66" s="5">
        <v>11</v>
      </c>
      <c r="B66" s="5">
        <v>30950</v>
      </c>
      <c r="C66" s="12" t="s">
        <v>433</v>
      </c>
      <c r="D66" s="5" t="s">
        <v>62</v>
      </c>
      <c r="E66" s="18">
        <v>7780289853</v>
      </c>
      <c r="F66" s="17">
        <v>45838</v>
      </c>
    </row>
    <row r="67" spans="1:6" ht="20.100000000000001" customHeight="1">
      <c r="A67" s="5">
        <v>12</v>
      </c>
      <c r="B67" s="5">
        <v>30951</v>
      </c>
      <c r="C67" s="12" t="s">
        <v>434</v>
      </c>
      <c r="D67" s="5" t="s">
        <v>62</v>
      </c>
      <c r="E67" s="18">
        <v>9398268887</v>
      </c>
      <c r="F67" s="17">
        <v>45838</v>
      </c>
    </row>
    <row r="68" spans="1:6" ht="20.100000000000001" customHeight="1">
      <c r="A68" s="5">
        <v>13</v>
      </c>
      <c r="B68" s="5">
        <v>30952</v>
      </c>
      <c r="C68" s="12" t="s">
        <v>435</v>
      </c>
      <c r="D68" s="5" t="s">
        <v>62</v>
      </c>
      <c r="E68" s="18">
        <v>7893194879</v>
      </c>
      <c r="F68" s="17">
        <v>45838</v>
      </c>
    </row>
    <row r="69" spans="1:6" ht="20.100000000000001" customHeight="1">
      <c r="A69" s="5">
        <v>14</v>
      </c>
      <c r="B69" s="5">
        <v>30953</v>
      </c>
      <c r="C69" s="12" t="s">
        <v>436</v>
      </c>
      <c r="D69" s="5" t="s">
        <v>62</v>
      </c>
      <c r="E69" s="18">
        <v>8341347822</v>
      </c>
      <c r="F69" s="17">
        <v>45838</v>
      </c>
    </row>
    <row r="70" spans="1:6" ht="20.100000000000001" customHeight="1">
      <c r="A70" s="5">
        <v>15</v>
      </c>
      <c r="B70" s="5">
        <v>30955</v>
      </c>
      <c r="C70" s="14" t="s">
        <v>437</v>
      </c>
      <c r="D70" s="5" t="s">
        <v>62</v>
      </c>
      <c r="E70" s="5">
        <v>6281270604</v>
      </c>
      <c r="F70" s="13">
        <v>45840</v>
      </c>
    </row>
    <row r="71" spans="1:6" ht="20.100000000000001" customHeight="1">
      <c r="A71" s="53">
        <v>16</v>
      </c>
      <c r="B71" s="53">
        <v>30958</v>
      </c>
      <c r="C71" s="55" t="s">
        <v>438</v>
      </c>
      <c r="D71" s="5" t="s">
        <v>62</v>
      </c>
      <c r="E71" s="5">
        <v>8074663963</v>
      </c>
      <c r="F71" s="13">
        <v>45842</v>
      </c>
    </row>
    <row r="72" spans="1:6" ht="20.100000000000001" customHeight="1">
      <c r="A72" s="5">
        <v>17</v>
      </c>
      <c r="B72" s="5">
        <v>30960</v>
      </c>
      <c r="C72" s="14" t="s">
        <v>439</v>
      </c>
      <c r="D72" s="5" t="s">
        <v>62</v>
      </c>
      <c r="E72" s="5">
        <v>9381847839</v>
      </c>
      <c r="F72" s="13">
        <v>45842</v>
      </c>
    </row>
    <row r="73" spans="1:6" ht="20.100000000000001" customHeight="1">
      <c r="A73" s="5">
        <v>18</v>
      </c>
      <c r="B73" s="5">
        <v>30961</v>
      </c>
      <c r="C73" s="14" t="s">
        <v>440</v>
      </c>
      <c r="D73" s="5" t="s">
        <v>62</v>
      </c>
      <c r="E73" s="5">
        <v>6300368240</v>
      </c>
      <c r="F73" s="13">
        <v>45843</v>
      </c>
    </row>
    <row r="74" spans="1:6" ht="20.100000000000001" customHeight="1">
      <c r="A74" s="24"/>
      <c r="B74" s="24"/>
      <c r="C74" s="25"/>
      <c r="D74" s="24"/>
      <c r="E74" s="26"/>
      <c r="F74" s="27"/>
    </row>
    <row r="75" spans="1:6" ht="20.100000000000001" customHeight="1">
      <c r="A75" s="25"/>
      <c r="B75" s="25"/>
      <c r="C75" s="25"/>
      <c r="D75" s="26"/>
      <c r="E75" s="26"/>
      <c r="F75" s="26"/>
    </row>
    <row r="76" spans="1:6" ht="20.100000000000001" customHeight="1">
      <c r="A76" s="39" t="s">
        <v>323</v>
      </c>
      <c r="B76" s="39"/>
      <c r="C76" s="39"/>
      <c r="D76" s="40"/>
      <c r="E76" s="40"/>
      <c r="F76" s="26"/>
    </row>
    <row r="77" spans="1:6" ht="20.100000000000001" customHeight="1">
      <c r="A77" s="247">
        <v>1</v>
      </c>
      <c r="B77" s="248">
        <v>2646</v>
      </c>
      <c r="C77" s="249" t="s">
        <v>245</v>
      </c>
      <c r="D77" s="248" t="s">
        <v>267</v>
      </c>
      <c r="E77" s="247">
        <v>6300035358</v>
      </c>
      <c r="F77" s="250">
        <v>45253</v>
      </c>
    </row>
    <row r="78" spans="1:6" ht="20.100000000000001" customHeight="1">
      <c r="A78" s="247">
        <v>2</v>
      </c>
      <c r="B78" s="248">
        <v>2686</v>
      </c>
      <c r="C78" s="249" t="s">
        <v>268</v>
      </c>
      <c r="D78" s="248" t="s">
        <v>267</v>
      </c>
      <c r="E78" s="247">
        <v>8247346900</v>
      </c>
      <c r="F78" s="250">
        <v>45282</v>
      </c>
    </row>
    <row r="79" spans="1:6" ht="20.100000000000001" customHeight="1">
      <c r="A79" s="247">
        <v>3</v>
      </c>
      <c r="B79" s="248">
        <v>2852</v>
      </c>
      <c r="C79" s="249" t="s">
        <v>205</v>
      </c>
      <c r="D79" s="248" t="s">
        <v>147</v>
      </c>
      <c r="E79" s="247">
        <v>7981683088</v>
      </c>
      <c r="F79" s="250">
        <v>45513</v>
      </c>
    </row>
    <row r="80" spans="1:6" ht="20.100000000000001" customHeight="1">
      <c r="A80" s="247">
        <v>4</v>
      </c>
      <c r="B80" s="248">
        <v>2862</v>
      </c>
      <c r="C80" s="249" t="s">
        <v>206</v>
      </c>
      <c r="D80" s="248" t="s">
        <v>147</v>
      </c>
      <c r="E80" s="247">
        <v>9966109473</v>
      </c>
      <c r="F80" s="251" t="s">
        <v>410</v>
      </c>
    </row>
    <row r="81" spans="1:6" ht="20.100000000000001" customHeight="1">
      <c r="A81" s="247">
        <v>5</v>
      </c>
      <c r="B81" s="248">
        <v>2932</v>
      </c>
      <c r="C81" s="249" t="s">
        <v>207</v>
      </c>
      <c r="D81" s="248" t="s">
        <v>147</v>
      </c>
      <c r="E81" s="247">
        <v>7672052900</v>
      </c>
      <c r="F81" s="250">
        <v>45597</v>
      </c>
    </row>
    <row r="82" spans="1:6" ht="20.100000000000001" customHeight="1">
      <c r="A82" s="247">
        <v>6</v>
      </c>
      <c r="B82" s="248">
        <v>2935</v>
      </c>
      <c r="C82" s="249" t="s">
        <v>208</v>
      </c>
      <c r="D82" s="248" t="s">
        <v>147</v>
      </c>
      <c r="E82" s="247">
        <v>9948686959</v>
      </c>
      <c r="F82" s="250">
        <v>45600</v>
      </c>
    </row>
    <row r="83" spans="1:6" ht="20.100000000000001" customHeight="1">
      <c r="A83" s="247">
        <v>7</v>
      </c>
      <c r="B83" s="248">
        <v>2940</v>
      </c>
      <c r="C83" s="249" t="s">
        <v>209</v>
      </c>
      <c r="D83" s="248" t="s">
        <v>147</v>
      </c>
      <c r="E83" s="247">
        <v>7799595004</v>
      </c>
      <c r="F83" s="250">
        <v>45610</v>
      </c>
    </row>
    <row r="84" spans="1:6" ht="20.100000000000001" customHeight="1">
      <c r="A84" s="247">
        <v>8</v>
      </c>
      <c r="B84" s="248">
        <v>2952</v>
      </c>
      <c r="C84" s="252" t="s">
        <v>210</v>
      </c>
      <c r="D84" s="248" t="s">
        <v>147</v>
      </c>
      <c r="E84" s="247">
        <v>6302946907</v>
      </c>
      <c r="F84" s="251" t="s">
        <v>411</v>
      </c>
    </row>
    <row r="85" spans="1:6" ht="20.100000000000001" customHeight="1">
      <c r="A85" s="247">
        <v>9</v>
      </c>
      <c r="B85" s="248">
        <v>3023</v>
      </c>
      <c r="C85" s="252" t="s">
        <v>211</v>
      </c>
      <c r="D85" s="248" t="s">
        <v>147</v>
      </c>
      <c r="E85" s="247">
        <v>9182194446</v>
      </c>
      <c r="F85" s="253">
        <v>45726</v>
      </c>
    </row>
    <row r="86" spans="1:6" ht="20.100000000000001" customHeight="1">
      <c r="A86" s="247">
        <v>10</v>
      </c>
      <c r="B86" s="247">
        <v>3032</v>
      </c>
      <c r="C86" s="252" t="s">
        <v>212</v>
      </c>
      <c r="D86" s="248" t="s">
        <v>147</v>
      </c>
      <c r="E86" s="251">
        <v>8341287184</v>
      </c>
      <c r="F86" s="251" t="s">
        <v>412</v>
      </c>
    </row>
    <row r="87" spans="1:6" ht="20.100000000000001" customHeight="1">
      <c r="A87" s="247">
        <v>11</v>
      </c>
      <c r="B87" s="247">
        <v>3033</v>
      </c>
      <c r="C87" s="252" t="s">
        <v>213</v>
      </c>
      <c r="D87" s="248" t="s">
        <v>147</v>
      </c>
      <c r="E87" s="251">
        <v>9569464941</v>
      </c>
      <c r="F87" s="251" t="s">
        <v>413</v>
      </c>
    </row>
    <row r="88" spans="1:6" ht="20.100000000000001" customHeight="1">
      <c r="A88" s="529" t="s">
        <v>325</v>
      </c>
      <c r="B88" s="529"/>
      <c r="C88" s="529"/>
      <c r="D88" s="529"/>
      <c r="E88" s="529"/>
      <c r="F88" s="254"/>
    </row>
    <row r="89" spans="1:6" ht="20.100000000000001" customHeight="1">
      <c r="A89" s="53">
        <v>1</v>
      </c>
      <c r="B89" s="53">
        <v>629</v>
      </c>
      <c r="C89" s="54" t="s">
        <v>248</v>
      </c>
      <c r="D89" s="53" t="s">
        <v>270</v>
      </c>
      <c r="E89" s="53">
        <v>9502200265</v>
      </c>
      <c r="F89" s="254"/>
    </row>
    <row r="90" spans="1:6" ht="20.100000000000001" customHeight="1">
      <c r="A90" s="53">
        <v>2</v>
      </c>
      <c r="B90" s="53">
        <v>2538</v>
      </c>
      <c r="C90" s="55" t="s">
        <v>271</v>
      </c>
      <c r="D90" s="53" t="s">
        <v>270</v>
      </c>
      <c r="E90" s="53">
        <v>9848526387</v>
      </c>
      <c r="F90" s="26"/>
    </row>
    <row r="91" spans="1:6" ht="20.100000000000001" customHeight="1">
      <c r="A91" s="53">
        <v>3</v>
      </c>
      <c r="B91" s="53">
        <v>2613</v>
      </c>
      <c r="C91" s="54" t="s">
        <v>272</v>
      </c>
      <c r="D91" s="56" t="s">
        <v>251</v>
      </c>
      <c r="E91" s="53">
        <v>9573912337</v>
      </c>
      <c r="F91" s="26"/>
    </row>
    <row r="92" spans="1:6" ht="20.100000000000001" customHeight="1">
      <c r="A92" s="53">
        <v>4</v>
      </c>
      <c r="B92" s="53">
        <v>2700</v>
      </c>
      <c r="C92" s="54" t="s">
        <v>273</v>
      </c>
      <c r="D92" s="53" t="s">
        <v>251</v>
      </c>
      <c r="E92" s="53">
        <v>7416390127</v>
      </c>
      <c r="F92" s="26"/>
    </row>
    <row r="93" spans="1:6" ht="20.100000000000001" customHeight="1">
      <c r="A93" s="53">
        <v>5</v>
      </c>
      <c r="B93" s="53">
        <v>2996</v>
      </c>
      <c r="C93" s="54" t="s">
        <v>346</v>
      </c>
      <c r="D93" s="53" t="s">
        <v>251</v>
      </c>
      <c r="E93" s="53">
        <v>8142888477</v>
      </c>
      <c r="F93" s="26"/>
    </row>
    <row r="94" spans="1:6" ht="20.100000000000001" customHeight="1">
      <c r="A94" s="25"/>
      <c r="B94" s="25"/>
      <c r="C94" s="25"/>
      <c r="D94" s="26"/>
      <c r="E94" s="26"/>
      <c r="F94" s="26"/>
    </row>
    <row r="95" spans="1:6" ht="20.100000000000001" customHeight="1">
      <c r="A95" s="25"/>
      <c r="B95" s="25"/>
      <c r="C95" s="57" t="s">
        <v>414</v>
      </c>
      <c r="D95" s="57">
        <v>40</v>
      </c>
      <c r="E95" s="26"/>
      <c r="F95" s="26"/>
    </row>
    <row r="96" spans="1:6" ht="20.100000000000001" customHeight="1">
      <c r="A96" s="25"/>
      <c r="B96" s="25"/>
      <c r="C96" s="57" t="s">
        <v>198</v>
      </c>
      <c r="D96" s="57">
        <v>2</v>
      </c>
      <c r="E96" s="26"/>
      <c r="F96" s="26"/>
    </row>
    <row r="97" spans="1:6" ht="20.100000000000001" customHeight="1">
      <c r="A97" s="25"/>
      <c r="B97" s="25"/>
      <c r="C97" s="57" t="s">
        <v>234</v>
      </c>
      <c r="D97" s="57">
        <v>4</v>
      </c>
      <c r="E97" s="26"/>
      <c r="F97" s="1"/>
    </row>
    <row r="98" spans="1:6" ht="20.100000000000001" customHeight="1">
      <c r="A98" s="25"/>
      <c r="B98" s="25"/>
      <c r="C98" s="57" t="s">
        <v>441</v>
      </c>
      <c r="D98" s="255" t="s">
        <v>442</v>
      </c>
      <c r="E98" s="26"/>
      <c r="F98" s="26"/>
    </row>
    <row r="99" spans="1:6" ht="20.100000000000001" customHeight="1">
      <c r="A99" s="25"/>
      <c r="B99" s="25"/>
      <c r="C99" s="57" t="s">
        <v>443</v>
      </c>
      <c r="D99" s="57">
        <v>18</v>
      </c>
      <c r="E99" s="26"/>
      <c r="F99" s="26"/>
    </row>
    <row r="100" spans="1:6" ht="20.100000000000001" customHeight="1">
      <c r="A100" s="25"/>
      <c r="B100" s="25"/>
      <c r="C100" s="57" t="s">
        <v>341</v>
      </c>
      <c r="D100" s="57">
        <v>2</v>
      </c>
      <c r="E100" s="26"/>
      <c r="F100" s="26"/>
    </row>
    <row r="101" spans="1:6" ht="20.100000000000001" customHeight="1">
      <c r="A101" s="25"/>
      <c r="B101" s="25"/>
      <c r="C101" s="57" t="s">
        <v>343</v>
      </c>
      <c r="D101" s="57">
        <v>11</v>
      </c>
      <c r="E101" s="26"/>
      <c r="F101" s="26"/>
    </row>
    <row r="102" spans="1:6" ht="20.100000000000001" customHeight="1">
      <c r="A102" s="25"/>
      <c r="B102" s="25"/>
      <c r="C102" s="57" t="s">
        <v>347</v>
      </c>
      <c r="D102" s="57">
        <v>5</v>
      </c>
      <c r="E102" s="26"/>
      <c r="F102" s="26"/>
    </row>
    <row r="103" spans="1:6" ht="20.100000000000001" customHeight="1">
      <c r="A103" s="25"/>
      <c r="B103" s="25"/>
      <c r="C103" s="57"/>
      <c r="D103" s="57">
        <v>83</v>
      </c>
      <c r="E103" s="26"/>
      <c r="F103" s="26"/>
    </row>
    <row r="104" spans="1:6" ht="20.100000000000001" customHeight="1">
      <c r="A104" s="25"/>
      <c r="B104" s="25"/>
      <c r="C104" s="25"/>
      <c r="D104" s="26"/>
      <c r="E104" s="26"/>
      <c r="F104" s="26"/>
    </row>
    <row r="107" spans="1:6" ht="15" thickBot="1">
      <c r="A107" s="564" t="s">
        <v>490</v>
      </c>
      <c r="B107" s="564"/>
      <c r="C107" s="564"/>
      <c r="D107" s="564"/>
      <c r="E107" s="564"/>
      <c r="F107" s="564"/>
    </row>
    <row r="108" spans="1:6">
      <c r="A108" s="560" t="s">
        <v>47</v>
      </c>
      <c r="B108" s="561"/>
      <c r="C108" s="561"/>
      <c r="D108" s="561"/>
      <c r="E108" s="561"/>
      <c r="F108" s="562"/>
    </row>
    <row r="109" spans="1:6">
      <c r="A109" s="563" t="s">
        <v>274</v>
      </c>
      <c r="B109" s="563"/>
      <c r="C109" s="563"/>
      <c r="D109" s="563"/>
      <c r="E109" s="563"/>
      <c r="F109" s="563"/>
    </row>
    <row r="110" spans="1:6" ht="28.8">
      <c r="A110" s="264" t="s">
        <v>1</v>
      </c>
      <c r="B110" s="265" t="s">
        <v>216</v>
      </c>
      <c r="C110" s="265" t="s">
        <v>3</v>
      </c>
      <c r="D110" s="265" t="s">
        <v>4</v>
      </c>
      <c r="E110" s="265" t="s">
        <v>8</v>
      </c>
      <c r="F110" s="266" t="s">
        <v>394</v>
      </c>
    </row>
    <row r="111" spans="1:6" ht="19.5" customHeight="1">
      <c r="A111" s="267">
        <v>1</v>
      </c>
      <c r="B111" s="267">
        <v>2488</v>
      </c>
      <c r="C111" s="268" t="s">
        <v>475</v>
      </c>
      <c r="D111" s="267" t="s">
        <v>68</v>
      </c>
      <c r="E111" s="267">
        <v>9475176321</v>
      </c>
      <c r="F111" s="269">
        <v>45448</v>
      </c>
    </row>
    <row r="112" spans="1:6" ht="19.5" customHeight="1">
      <c r="A112" s="267">
        <v>2</v>
      </c>
      <c r="B112" s="268"/>
      <c r="C112" s="268" t="s">
        <v>123</v>
      </c>
      <c r="D112" s="267" t="s">
        <v>68</v>
      </c>
      <c r="E112" s="267">
        <v>8085865163</v>
      </c>
      <c r="F112" s="268"/>
    </row>
    <row r="113" spans="1:6" ht="19.5" customHeight="1">
      <c r="A113" s="267">
        <v>3</v>
      </c>
      <c r="B113" s="268"/>
      <c r="C113" s="268" t="s">
        <v>476</v>
      </c>
      <c r="D113" s="267" t="s">
        <v>68</v>
      </c>
      <c r="E113" s="267" t="s">
        <v>477</v>
      </c>
      <c r="F113" s="268"/>
    </row>
    <row r="114" spans="1:6" ht="19.5" customHeight="1">
      <c r="A114" s="267">
        <v>4</v>
      </c>
      <c r="B114" s="268"/>
      <c r="C114" s="268" t="s">
        <v>478</v>
      </c>
      <c r="D114" s="267" t="s">
        <v>68</v>
      </c>
      <c r="E114" s="267" t="s">
        <v>479</v>
      </c>
      <c r="F114" s="268"/>
    </row>
    <row r="115" spans="1:6" ht="19.5" customHeight="1">
      <c r="A115" s="270">
        <v>5</v>
      </c>
      <c r="B115" s="268"/>
      <c r="C115" s="271" t="s">
        <v>480</v>
      </c>
      <c r="D115" s="270" t="s">
        <v>68</v>
      </c>
      <c r="E115" s="270" t="s">
        <v>481</v>
      </c>
      <c r="F115" s="268"/>
    </row>
    <row r="116" spans="1:6" ht="19.5" customHeight="1">
      <c r="A116" s="272">
        <v>6</v>
      </c>
      <c r="B116" s="273"/>
      <c r="C116" s="273" t="s">
        <v>482</v>
      </c>
      <c r="D116" s="272" t="s">
        <v>62</v>
      </c>
      <c r="E116" s="272">
        <v>8074356201</v>
      </c>
      <c r="F116" s="273"/>
    </row>
    <row r="117" spans="1:6" ht="19.5" customHeight="1">
      <c r="A117" s="272">
        <v>7</v>
      </c>
      <c r="B117" s="273"/>
      <c r="C117" s="273" t="s">
        <v>483</v>
      </c>
      <c r="D117" s="272" t="s">
        <v>62</v>
      </c>
      <c r="E117" s="272">
        <v>7842218027</v>
      </c>
      <c r="F117" s="274">
        <v>45852</v>
      </c>
    </row>
    <row r="118" spans="1:6" ht="19.5" customHeight="1">
      <c r="A118" s="272">
        <v>8</v>
      </c>
      <c r="B118" s="273"/>
      <c r="C118" s="273" t="s">
        <v>484</v>
      </c>
      <c r="D118" s="272" t="s">
        <v>62</v>
      </c>
      <c r="E118" s="272">
        <v>9182851196</v>
      </c>
      <c r="F118" s="274">
        <v>45852</v>
      </c>
    </row>
    <row r="119" spans="1:6" ht="19.5" customHeight="1">
      <c r="A119" s="272">
        <v>9</v>
      </c>
      <c r="B119" s="273"/>
      <c r="C119" s="273" t="s">
        <v>485</v>
      </c>
      <c r="D119" s="272" t="s">
        <v>62</v>
      </c>
      <c r="E119" s="272">
        <v>8919291193</v>
      </c>
      <c r="F119" s="274">
        <v>45852</v>
      </c>
    </row>
    <row r="120" spans="1:6" ht="19.5" customHeight="1">
      <c r="A120" s="272">
        <v>10</v>
      </c>
      <c r="B120" s="273"/>
      <c r="C120" s="273" t="s">
        <v>486</v>
      </c>
      <c r="D120" s="272" t="s">
        <v>62</v>
      </c>
      <c r="E120" s="272">
        <v>9492080857</v>
      </c>
      <c r="F120" s="274">
        <v>45852</v>
      </c>
    </row>
    <row r="121" spans="1:6" ht="19.5" customHeight="1">
      <c r="A121" s="272">
        <v>11</v>
      </c>
      <c r="B121" s="273"/>
      <c r="C121" s="273" t="s">
        <v>487</v>
      </c>
      <c r="D121" s="272" t="s">
        <v>62</v>
      </c>
      <c r="E121" s="272">
        <v>9505271111</v>
      </c>
      <c r="F121" s="274">
        <v>45852</v>
      </c>
    </row>
    <row r="122" spans="1:6" ht="19.5" customHeight="1">
      <c r="A122" s="272">
        <v>12</v>
      </c>
      <c r="B122" s="273"/>
      <c r="C122" s="273" t="s">
        <v>488</v>
      </c>
      <c r="D122" s="272" t="s">
        <v>62</v>
      </c>
      <c r="E122" s="272">
        <v>9494336283</v>
      </c>
      <c r="F122" s="274">
        <v>45852</v>
      </c>
    </row>
    <row r="123" spans="1:6" ht="19.5" customHeight="1">
      <c r="A123" s="272">
        <v>13</v>
      </c>
      <c r="B123" s="273"/>
      <c r="C123" s="273" t="s">
        <v>489</v>
      </c>
      <c r="D123" s="272" t="s">
        <v>62</v>
      </c>
      <c r="E123" s="272">
        <v>7842638133</v>
      </c>
      <c r="F123" s="274">
        <v>45852</v>
      </c>
    </row>
    <row r="124" spans="1:6" ht="19.5" customHeight="1">
      <c r="A124" s="275"/>
      <c r="B124" s="275"/>
      <c r="C124" s="275"/>
      <c r="D124" s="275"/>
      <c r="E124" s="275"/>
      <c r="F124" s="275"/>
    </row>
  </sheetData>
  <mergeCells count="8">
    <mergeCell ref="A108:F108"/>
    <mergeCell ref="A109:F109"/>
    <mergeCell ref="A107:F107"/>
    <mergeCell ref="A1:F1"/>
    <mergeCell ref="A2:F2"/>
    <mergeCell ref="A3:G3"/>
    <mergeCell ref="A55:F55"/>
    <mergeCell ref="A88:E88"/>
  </mergeCells>
  <conditionalFormatting sqref="B19:B20">
    <cfRule type="duplicateValues" dxfId="17" priority="1"/>
  </conditionalFormatting>
  <conditionalFormatting sqref="B29:B30">
    <cfRule type="duplicateValues" dxfId="16" priority="2"/>
  </conditionalFormatting>
  <hyperlinks>
    <hyperlink ref="A110" r:id="rId1" display="http://sl.no/" xr:uid="{00000000-0004-0000-1000-000000000000}"/>
  </hyperlinks>
  <pageMargins left="0.7" right="0.7" top="0.75" bottom="0.75" header="0.3" footer="0.3"/>
  <pageSetup paperSize="9" orientation="landscape" horizontalDpi="0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66"/>
  <sheetViews>
    <sheetView topLeftCell="A99" workbookViewId="0">
      <selection activeCell="B92" sqref="B92"/>
    </sheetView>
  </sheetViews>
  <sheetFormatPr defaultRowHeight="14.4"/>
  <cols>
    <col min="1" max="1" width="6.6640625" customWidth="1"/>
    <col min="2" max="2" width="11.109375" style="1" customWidth="1"/>
    <col min="3" max="3" width="30.5546875" customWidth="1"/>
    <col min="4" max="4" width="27.5546875" style="1" bestFit="1" customWidth="1"/>
    <col min="5" max="5" width="14.33203125" bestFit="1" customWidth="1"/>
    <col min="6" max="6" width="12.44140625" style="1" bestFit="1" customWidth="1"/>
    <col min="7" max="7" width="10.44140625" bestFit="1" customWidth="1"/>
  </cols>
  <sheetData>
    <row r="1" spans="1:7" ht="20.100000000000001" customHeight="1">
      <c r="A1" s="558" t="s">
        <v>47</v>
      </c>
      <c r="B1" s="558"/>
      <c r="C1" s="558"/>
      <c r="D1" s="558"/>
      <c r="E1" s="558"/>
      <c r="F1" s="558"/>
      <c r="G1" s="558"/>
    </row>
    <row r="2" spans="1:7" ht="20.100000000000001" customHeight="1">
      <c r="A2" s="558" t="s">
        <v>274</v>
      </c>
      <c r="B2" s="558"/>
      <c r="C2" s="558"/>
      <c r="D2" s="558"/>
      <c r="E2" s="558"/>
      <c r="F2" s="558"/>
      <c r="G2" s="558"/>
    </row>
    <row r="3" spans="1:7" ht="20.100000000000001" customHeight="1">
      <c r="A3" s="522" t="s">
        <v>418</v>
      </c>
      <c r="B3" s="522"/>
      <c r="C3" s="522"/>
      <c r="D3" s="522"/>
      <c r="E3" s="522"/>
      <c r="F3" s="522"/>
      <c r="G3" s="522"/>
    </row>
    <row r="4" spans="1:7" ht="20.100000000000001" customHeight="1">
      <c r="A4" s="257"/>
      <c r="B4" s="257"/>
      <c r="C4" s="257"/>
      <c r="D4" s="257"/>
      <c r="E4" s="257"/>
      <c r="F4" s="276"/>
      <c r="G4" s="258"/>
    </row>
    <row r="5" spans="1:7" ht="20.100000000000001" customHeight="1">
      <c r="A5" s="2" t="s">
        <v>1</v>
      </c>
      <c r="B5" s="2" t="s">
        <v>216</v>
      </c>
      <c r="C5" s="2" t="s">
        <v>3</v>
      </c>
      <c r="D5" s="2" t="s">
        <v>4</v>
      </c>
      <c r="E5" s="2" t="s">
        <v>8</v>
      </c>
      <c r="F5" s="3" t="s">
        <v>394</v>
      </c>
      <c r="G5" s="4" t="s">
        <v>395</v>
      </c>
    </row>
    <row r="6" spans="1:7" ht="20.100000000000001" customHeight="1">
      <c r="A6" s="5">
        <v>1</v>
      </c>
      <c r="B6" s="5">
        <v>1251</v>
      </c>
      <c r="C6" s="6" t="s">
        <v>9</v>
      </c>
      <c r="D6" s="7" t="s">
        <v>257</v>
      </c>
      <c r="E6" s="7">
        <v>9840850744</v>
      </c>
      <c r="F6" s="8">
        <v>42387</v>
      </c>
      <c r="G6" s="123">
        <f ca="1">DATEDIF(F6,TODAY(),"y")</f>
        <v>10</v>
      </c>
    </row>
    <row r="7" spans="1:7" ht="20.100000000000001" customHeight="1">
      <c r="A7" s="5">
        <v>2</v>
      </c>
      <c r="B7" s="5">
        <v>308</v>
      </c>
      <c r="C7" s="6" t="s">
        <v>299</v>
      </c>
      <c r="D7" s="7" t="s">
        <v>19</v>
      </c>
      <c r="E7" s="7">
        <v>9908823834</v>
      </c>
      <c r="F7" s="8">
        <v>39259</v>
      </c>
      <c r="G7" s="123">
        <f t="shared" ref="G7:G51" ca="1" si="0">DATEDIF(F7,TODAY(),"y")</f>
        <v>18</v>
      </c>
    </row>
    <row r="8" spans="1:7" ht="20.100000000000001" customHeight="1">
      <c r="A8" s="5">
        <v>3</v>
      </c>
      <c r="B8" s="5">
        <v>1182</v>
      </c>
      <c r="C8" s="9" t="s">
        <v>26</v>
      </c>
      <c r="D8" s="10" t="s">
        <v>396</v>
      </c>
      <c r="E8" s="7">
        <v>9676354404</v>
      </c>
      <c r="F8" s="11">
        <v>42193</v>
      </c>
      <c r="G8" s="123">
        <f t="shared" ca="1" si="0"/>
        <v>10</v>
      </c>
    </row>
    <row r="9" spans="1:7" ht="20.100000000000001" customHeight="1">
      <c r="A9" s="5">
        <v>4</v>
      </c>
      <c r="B9" s="5">
        <v>523</v>
      </c>
      <c r="C9" s="12" t="s">
        <v>382</v>
      </c>
      <c r="D9" s="10" t="s">
        <v>491</v>
      </c>
      <c r="E9" s="5">
        <v>9441536410</v>
      </c>
      <c r="F9" s="13">
        <v>45694</v>
      </c>
      <c r="G9" s="123">
        <f t="shared" ca="1" si="0"/>
        <v>1</v>
      </c>
    </row>
    <row r="10" spans="1:7" ht="20.100000000000001" customHeight="1">
      <c r="A10" s="5">
        <v>5</v>
      </c>
      <c r="B10" s="5">
        <v>2827</v>
      </c>
      <c r="C10" s="14" t="s">
        <v>279</v>
      </c>
      <c r="D10" s="10" t="s">
        <v>180</v>
      </c>
      <c r="E10" s="7">
        <v>8085575111</v>
      </c>
      <c r="F10" s="13">
        <v>45495</v>
      </c>
      <c r="G10" s="123">
        <f t="shared" ca="1" si="0"/>
        <v>1</v>
      </c>
    </row>
    <row r="11" spans="1:7" ht="20.100000000000001" customHeight="1">
      <c r="A11" s="5">
        <v>6</v>
      </c>
      <c r="B11" s="5">
        <v>312</v>
      </c>
      <c r="C11" s="6" t="s">
        <v>42</v>
      </c>
      <c r="D11" s="15" t="s">
        <v>180</v>
      </c>
      <c r="E11" s="7">
        <v>8297208489</v>
      </c>
      <c r="F11" s="11">
        <v>40206</v>
      </c>
      <c r="G11" s="123">
        <f t="shared" ca="1" si="0"/>
        <v>16</v>
      </c>
    </row>
    <row r="12" spans="1:7" ht="20.100000000000001" customHeight="1">
      <c r="A12" s="5">
        <v>7</v>
      </c>
      <c r="B12" s="5">
        <v>2090</v>
      </c>
      <c r="C12" s="16" t="s">
        <v>33</v>
      </c>
      <c r="D12" s="10" t="s">
        <v>180</v>
      </c>
      <c r="E12" s="7">
        <v>9441540580</v>
      </c>
      <c r="F12" s="11">
        <v>44107</v>
      </c>
      <c r="G12" s="123">
        <f t="shared" ca="1" si="0"/>
        <v>5</v>
      </c>
    </row>
    <row r="13" spans="1:7" ht="20.100000000000001" customHeight="1">
      <c r="A13" s="5">
        <v>8</v>
      </c>
      <c r="B13" s="5">
        <v>2490</v>
      </c>
      <c r="C13" s="14" t="s">
        <v>83</v>
      </c>
      <c r="D13" s="7" t="s">
        <v>157</v>
      </c>
      <c r="E13" s="5">
        <v>9848129660</v>
      </c>
      <c r="F13" s="17">
        <v>45084</v>
      </c>
      <c r="G13" s="123">
        <f t="shared" ca="1" si="0"/>
        <v>2</v>
      </c>
    </row>
    <row r="14" spans="1:7" ht="20.100000000000001" customHeight="1">
      <c r="A14" s="5">
        <v>9</v>
      </c>
      <c r="B14" s="5">
        <v>2499</v>
      </c>
      <c r="C14" s="12" t="s">
        <v>221</v>
      </c>
      <c r="D14" s="7" t="s">
        <v>157</v>
      </c>
      <c r="E14" s="5">
        <v>9994476533</v>
      </c>
      <c r="F14" s="13">
        <v>45103</v>
      </c>
      <c r="G14" s="123">
        <f t="shared" ca="1" si="0"/>
        <v>2</v>
      </c>
    </row>
    <row r="15" spans="1:7" ht="20.100000000000001" customHeight="1">
      <c r="A15" s="5">
        <v>10</v>
      </c>
      <c r="B15" s="5">
        <v>2501</v>
      </c>
      <c r="C15" s="14" t="s">
        <v>101</v>
      </c>
      <c r="D15" s="7" t="s">
        <v>157</v>
      </c>
      <c r="E15" s="5">
        <v>9848052474</v>
      </c>
      <c r="F15" s="13">
        <v>45103</v>
      </c>
      <c r="G15" s="123">
        <f t="shared" ca="1" si="0"/>
        <v>2</v>
      </c>
    </row>
    <row r="16" spans="1:7" ht="20.100000000000001" customHeight="1">
      <c r="A16" s="5">
        <v>11</v>
      </c>
      <c r="B16" s="5">
        <v>2541</v>
      </c>
      <c r="C16" s="16" t="s">
        <v>127</v>
      </c>
      <c r="D16" s="7" t="s">
        <v>157</v>
      </c>
      <c r="E16" s="5">
        <v>7981738522</v>
      </c>
      <c r="F16" s="17">
        <v>45139</v>
      </c>
      <c r="G16" s="123">
        <f t="shared" ca="1" si="0"/>
        <v>2</v>
      </c>
    </row>
    <row r="17" spans="1:7" ht="20.100000000000001" customHeight="1">
      <c r="A17" s="5">
        <v>12</v>
      </c>
      <c r="B17" s="10">
        <v>2689</v>
      </c>
      <c r="C17" s="9" t="s">
        <v>154</v>
      </c>
      <c r="D17" s="7" t="s">
        <v>157</v>
      </c>
      <c r="E17" s="18">
        <v>7006157037</v>
      </c>
      <c r="F17" s="17">
        <v>45289</v>
      </c>
      <c r="G17" s="123">
        <f t="shared" ca="1" si="0"/>
        <v>2</v>
      </c>
    </row>
    <row r="18" spans="1:7" ht="20.100000000000001" customHeight="1">
      <c r="A18" s="5">
        <v>13</v>
      </c>
      <c r="B18" s="5">
        <v>2947</v>
      </c>
      <c r="C18" s="12" t="s">
        <v>204</v>
      </c>
      <c r="D18" s="7" t="s">
        <v>157</v>
      </c>
      <c r="E18" s="5">
        <v>9032045840</v>
      </c>
      <c r="F18" s="17">
        <v>45632</v>
      </c>
      <c r="G18" s="123">
        <f t="shared" ca="1" si="0"/>
        <v>1</v>
      </c>
    </row>
    <row r="19" spans="1:7" ht="20.100000000000001" customHeight="1">
      <c r="A19" s="5">
        <v>14</v>
      </c>
      <c r="B19" s="5">
        <v>540</v>
      </c>
      <c r="C19" s="6" t="s">
        <v>378</v>
      </c>
      <c r="D19" s="10" t="s">
        <v>68</v>
      </c>
      <c r="E19" s="7">
        <v>9550367172</v>
      </c>
      <c r="F19" s="11">
        <v>40032</v>
      </c>
      <c r="G19" s="123">
        <f t="shared" ca="1" si="0"/>
        <v>16</v>
      </c>
    </row>
    <row r="20" spans="1:7" ht="20.100000000000001" customHeight="1">
      <c r="A20" s="5">
        <v>15</v>
      </c>
      <c r="B20" s="19" t="s">
        <v>397</v>
      </c>
      <c r="C20" s="9" t="s">
        <v>67</v>
      </c>
      <c r="D20" s="10" t="s">
        <v>68</v>
      </c>
      <c r="E20" s="5">
        <v>9614547390</v>
      </c>
      <c r="F20" s="11">
        <v>45014</v>
      </c>
      <c r="G20" s="123">
        <f t="shared" ca="1" si="0"/>
        <v>3</v>
      </c>
    </row>
    <row r="21" spans="1:7" ht="20.100000000000001" customHeight="1">
      <c r="A21" s="5">
        <v>16</v>
      </c>
      <c r="B21" s="5">
        <v>2454</v>
      </c>
      <c r="C21" s="16" t="s">
        <v>318</v>
      </c>
      <c r="D21" s="10" t="s">
        <v>68</v>
      </c>
      <c r="E21" s="5">
        <v>7729990303</v>
      </c>
      <c r="F21" s="11">
        <v>45047</v>
      </c>
      <c r="G21" s="123">
        <f t="shared" ca="1" si="0"/>
        <v>2</v>
      </c>
    </row>
    <row r="22" spans="1:7" ht="20.100000000000001" customHeight="1">
      <c r="A22" s="5">
        <v>17</v>
      </c>
      <c r="B22" s="5">
        <v>2502</v>
      </c>
      <c r="C22" s="14" t="s">
        <v>359</v>
      </c>
      <c r="D22" s="10" t="s">
        <v>68</v>
      </c>
      <c r="E22" s="5">
        <v>9600605782</v>
      </c>
      <c r="F22" s="13">
        <v>45105</v>
      </c>
      <c r="G22" s="123">
        <f t="shared" ca="1" si="0"/>
        <v>2</v>
      </c>
    </row>
    <row r="23" spans="1:7" ht="20.100000000000001" customHeight="1">
      <c r="A23" s="5">
        <v>18</v>
      </c>
      <c r="B23" s="5">
        <v>2514</v>
      </c>
      <c r="C23" s="14" t="s">
        <v>113</v>
      </c>
      <c r="D23" s="10" t="s">
        <v>68</v>
      </c>
      <c r="E23" s="5">
        <v>9500312191</v>
      </c>
      <c r="F23" s="13">
        <v>45117</v>
      </c>
      <c r="G23" s="123">
        <f t="shared" ca="1" si="0"/>
        <v>2</v>
      </c>
    </row>
    <row r="24" spans="1:7" ht="20.100000000000001" customHeight="1">
      <c r="A24" s="5">
        <v>19</v>
      </c>
      <c r="B24" s="5">
        <v>2519</v>
      </c>
      <c r="C24" s="14" t="s">
        <v>120</v>
      </c>
      <c r="D24" s="10" t="s">
        <v>68</v>
      </c>
      <c r="E24" s="10">
        <v>8978116834</v>
      </c>
      <c r="F24" s="17">
        <v>45121</v>
      </c>
      <c r="G24" s="123">
        <f t="shared" ca="1" si="0"/>
        <v>2</v>
      </c>
    </row>
    <row r="25" spans="1:7" ht="20.100000000000001" customHeight="1">
      <c r="A25" s="5">
        <v>20</v>
      </c>
      <c r="B25" s="294">
        <v>2637</v>
      </c>
      <c r="C25" s="295" t="s">
        <v>261</v>
      </c>
      <c r="D25" s="294" t="s">
        <v>68</v>
      </c>
      <c r="E25" s="290">
        <v>9706631085</v>
      </c>
      <c r="F25" s="296">
        <v>45245</v>
      </c>
      <c r="G25" s="123">
        <f t="shared" ca="1" si="0"/>
        <v>2</v>
      </c>
    </row>
    <row r="26" spans="1:7" ht="20.100000000000001" customHeight="1">
      <c r="A26" s="5">
        <v>21</v>
      </c>
      <c r="B26" s="5">
        <v>2812</v>
      </c>
      <c r="C26" s="20" t="s">
        <v>301</v>
      </c>
      <c r="D26" s="10" t="s">
        <v>68</v>
      </c>
      <c r="E26" s="5">
        <v>7731063177</v>
      </c>
      <c r="F26" s="13">
        <v>45488</v>
      </c>
      <c r="G26" s="123">
        <f t="shared" ca="1" si="0"/>
        <v>1</v>
      </c>
    </row>
    <row r="27" spans="1:7" ht="20.100000000000001" customHeight="1">
      <c r="A27" s="5">
        <v>22</v>
      </c>
      <c r="B27" s="5">
        <v>2934</v>
      </c>
      <c r="C27" s="12" t="s">
        <v>193</v>
      </c>
      <c r="D27" s="10" t="s">
        <v>68</v>
      </c>
      <c r="E27" s="18">
        <v>9440664462</v>
      </c>
      <c r="F27" s="17">
        <v>45600</v>
      </c>
      <c r="G27" s="123">
        <f t="shared" ca="1" si="0"/>
        <v>1</v>
      </c>
    </row>
    <row r="28" spans="1:7" ht="20.100000000000001" customHeight="1">
      <c r="A28" s="5">
        <v>23</v>
      </c>
      <c r="B28" s="5">
        <v>3080</v>
      </c>
      <c r="C28" s="12" t="s">
        <v>398</v>
      </c>
      <c r="D28" s="10" t="s">
        <v>68</v>
      </c>
      <c r="E28" s="18">
        <v>6300921477</v>
      </c>
      <c r="F28" s="17" t="s">
        <v>399</v>
      </c>
      <c r="G28" s="123" t="e">
        <f t="shared" ca="1" si="0"/>
        <v>#VALUE!</v>
      </c>
    </row>
    <row r="29" spans="1:7" ht="20.100000000000001" customHeight="1">
      <c r="A29" s="5">
        <v>24</v>
      </c>
      <c r="B29" s="237" t="s">
        <v>420</v>
      </c>
      <c r="C29" s="12" t="s">
        <v>415</v>
      </c>
      <c r="D29" s="10" t="s">
        <v>68</v>
      </c>
      <c r="E29" s="18">
        <v>9492688417</v>
      </c>
      <c r="F29" s="17" t="s">
        <v>421</v>
      </c>
      <c r="G29" s="123" t="e">
        <f t="shared" ca="1" si="0"/>
        <v>#VALUE!</v>
      </c>
    </row>
    <row r="30" spans="1:7" ht="20.100000000000001" customHeight="1">
      <c r="A30" s="5">
        <v>25</v>
      </c>
      <c r="B30" s="5">
        <v>1181</v>
      </c>
      <c r="C30" s="9" t="s">
        <v>55</v>
      </c>
      <c r="D30" s="10" t="s">
        <v>68</v>
      </c>
      <c r="E30" s="7">
        <v>9493670612</v>
      </c>
      <c r="F30" s="11">
        <v>42193</v>
      </c>
      <c r="G30" s="123">
        <f t="shared" ca="1" si="0"/>
        <v>10</v>
      </c>
    </row>
    <row r="31" spans="1:7" ht="20.100000000000001" customHeight="1">
      <c r="A31" s="5">
        <v>26</v>
      </c>
      <c r="B31" s="5">
        <v>1243</v>
      </c>
      <c r="C31" s="9" t="s">
        <v>58</v>
      </c>
      <c r="D31" s="10" t="s">
        <v>68</v>
      </c>
      <c r="E31" s="7">
        <v>8790166779</v>
      </c>
      <c r="F31" s="11">
        <v>42354</v>
      </c>
      <c r="G31" s="123">
        <f t="shared" ca="1" si="0"/>
        <v>10</v>
      </c>
    </row>
    <row r="32" spans="1:7" ht="20.100000000000001" customHeight="1">
      <c r="A32" s="5">
        <v>27</v>
      </c>
      <c r="B32" s="5">
        <v>2432</v>
      </c>
      <c r="C32" s="16" t="s">
        <v>280</v>
      </c>
      <c r="D32" s="10" t="s">
        <v>68</v>
      </c>
      <c r="E32" s="5">
        <v>7093243607</v>
      </c>
      <c r="F32" s="13">
        <v>44982</v>
      </c>
      <c r="G32" s="123">
        <f t="shared" ca="1" si="0"/>
        <v>3</v>
      </c>
    </row>
    <row r="33" spans="1:7" ht="20.100000000000001" customHeight="1">
      <c r="A33" s="5">
        <v>28</v>
      </c>
      <c r="B33" s="5">
        <v>2728</v>
      </c>
      <c r="C33" s="14" t="s">
        <v>384</v>
      </c>
      <c r="D33" s="10" t="s">
        <v>68</v>
      </c>
      <c r="E33" s="5">
        <v>7981960066</v>
      </c>
      <c r="F33" s="13">
        <v>45385</v>
      </c>
      <c r="G33" s="123">
        <f t="shared" ca="1" si="0"/>
        <v>2</v>
      </c>
    </row>
    <row r="34" spans="1:7" ht="20.100000000000001" customHeight="1">
      <c r="A34" s="5">
        <v>29</v>
      </c>
      <c r="B34" s="5">
        <v>2765</v>
      </c>
      <c r="C34" s="16" t="s">
        <v>168</v>
      </c>
      <c r="D34" s="10" t="s">
        <v>68</v>
      </c>
      <c r="E34" s="5">
        <v>9788682940</v>
      </c>
      <c r="F34" s="17">
        <v>45453</v>
      </c>
      <c r="G34" s="123">
        <f t="shared" ca="1" si="0"/>
        <v>1</v>
      </c>
    </row>
    <row r="35" spans="1:7" ht="20.100000000000001" customHeight="1">
      <c r="A35" s="5">
        <v>30</v>
      </c>
      <c r="B35" s="5">
        <v>2512</v>
      </c>
      <c r="C35" s="16" t="s">
        <v>189</v>
      </c>
      <c r="D35" s="10" t="s">
        <v>68</v>
      </c>
      <c r="E35" s="5">
        <v>9292709507</v>
      </c>
      <c r="F35" s="23">
        <v>45117</v>
      </c>
      <c r="G35" s="123">
        <f t="shared" ca="1" si="0"/>
        <v>2</v>
      </c>
    </row>
    <row r="36" spans="1:7" ht="20.100000000000001" customHeight="1">
      <c r="A36" s="5">
        <v>31</v>
      </c>
      <c r="B36" s="5">
        <v>2898</v>
      </c>
      <c r="C36" s="12" t="s">
        <v>190</v>
      </c>
      <c r="D36" s="10" t="s">
        <v>68</v>
      </c>
      <c r="E36" s="5">
        <v>9989895732</v>
      </c>
      <c r="F36" s="17">
        <v>45531</v>
      </c>
      <c r="G36" s="123">
        <f t="shared" ca="1" si="0"/>
        <v>1</v>
      </c>
    </row>
    <row r="37" spans="1:7" ht="20.100000000000001" customHeight="1">
      <c r="A37" s="5">
        <v>32</v>
      </c>
      <c r="B37" s="5">
        <v>2965</v>
      </c>
      <c r="C37" s="12" t="s">
        <v>365</v>
      </c>
      <c r="D37" s="5" t="s">
        <v>68</v>
      </c>
      <c r="E37" s="18">
        <v>9642674547</v>
      </c>
      <c r="F37" s="17">
        <v>45663</v>
      </c>
      <c r="G37" s="123">
        <f t="shared" ca="1" si="0"/>
        <v>1</v>
      </c>
    </row>
    <row r="38" spans="1:7" ht="20.100000000000001" customHeight="1">
      <c r="A38" s="5">
        <v>33</v>
      </c>
      <c r="B38" s="290">
        <v>2977</v>
      </c>
      <c r="C38" s="78" t="s">
        <v>367</v>
      </c>
      <c r="D38" s="290" t="s">
        <v>68</v>
      </c>
      <c r="E38" s="291">
        <v>9039466727</v>
      </c>
      <c r="F38" s="292">
        <v>45675</v>
      </c>
      <c r="G38" s="123">
        <f t="shared" ca="1" si="0"/>
        <v>1</v>
      </c>
    </row>
    <row r="39" spans="1:7" ht="20.100000000000001" customHeight="1">
      <c r="A39" s="5">
        <v>34</v>
      </c>
      <c r="B39" s="5">
        <v>3038</v>
      </c>
      <c r="C39" s="12" t="s">
        <v>385</v>
      </c>
      <c r="D39" s="5" t="s">
        <v>68</v>
      </c>
      <c r="E39" s="18">
        <v>8330983764</v>
      </c>
      <c r="F39" s="17">
        <v>45742</v>
      </c>
      <c r="G39" s="123">
        <f t="shared" ca="1" si="0"/>
        <v>1</v>
      </c>
    </row>
    <row r="40" spans="1:7" ht="20.100000000000001" customHeight="1">
      <c r="A40" s="5">
        <v>35</v>
      </c>
      <c r="B40" s="5">
        <v>3073</v>
      </c>
      <c r="C40" s="12" t="s">
        <v>400</v>
      </c>
      <c r="D40" s="5" t="s">
        <v>68</v>
      </c>
      <c r="E40" s="18">
        <v>9885657789</v>
      </c>
      <c r="F40" s="18" t="s">
        <v>401</v>
      </c>
      <c r="G40" s="123"/>
    </row>
    <row r="41" spans="1:7" ht="20.100000000000001" customHeight="1">
      <c r="A41" s="5">
        <v>36</v>
      </c>
      <c r="B41" s="5">
        <v>3081</v>
      </c>
      <c r="C41" s="12" t="s">
        <v>419</v>
      </c>
      <c r="D41" s="5" t="s">
        <v>68</v>
      </c>
      <c r="E41" s="18">
        <v>7338323477</v>
      </c>
      <c r="F41" s="18" t="s">
        <v>403</v>
      </c>
      <c r="G41" s="123"/>
    </row>
    <row r="42" spans="1:7" ht="20.100000000000001" customHeight="1">
      <c r="A42" s="5">
        <v>37</v>
      </c>
      <c r="B42" s="5">
        <v>3084</v>
      </c>
      <c r="C42" s="12" t="s">
        <v>404</v>
      </c>
      <c r="D42" s="5" t="s">
        <v>68</v>
      </c>
      <c r="E42" s="18">
        <v>9492617314</v>
      </c>
      <c r="F42" s="18" t="s">
        <v>405</v>
      </c>
      <c r="G42" s="123"/>
    </row>
    <row r="43" spans="1:7" ht="20.100000000000001" customHeight="1">
      <c r="A43" s="5">
        <v>38</v>
      </c>
      <c r="B43" s="5">
        <v>2921</v>
      </c>
      <c r="C43" s="12" t="s">
        <v>364</v>
      </c>
      <c r="D43" s="10" t="s">
        <v>192</v>
      </c>
      <c r="E43" s="18">
        <v>9014766760</v>
      </c>
      <c r="F43" s="17">
        <v>45580</v>
      </c>
      <c r="G43" s="123">
        <f t="shared" ca="1" si="0"/>
        <v>1</v>
      </c>
    </row>
    <row r="44" spans="1:7" ht="20.100000000000001" customHeight="1">
      <c r="A44" s="5">
        <v>39</v>
      </c>
      <c r="B44" s="123">
        <v>3089</v>
      </c>
      <c r="C44" s="69" t="s">
        <v>416</v>
      </c>
      <c r="D44" s="123" t="s">
        <v>417</v>
      </c>
      <c r="E44" s="123">
        <v>8790242128</v>
      </c>
      <c r="F44" s="96">
        <v>45826</v>
      </c>
      <c r="G44" s="123">
        <f t="shared" ca="1" si="0"/>
        <v>0</v>
      </c>
    </row>
    <row r="45" spans="1:7" ht="20.100000000000001" customHeight="1">
      <c r="A45" s="5">
        <v>40</v>
      </c>
      <c r="B45" s="5"/>
      <c r="C45" s="12" t="s">
        <v>422</v>
      </c>
      <c r="D45" s="5" t="s">
        <v>68</v>
      </c>
      <c r="E45" s="18">
        <v>9491432819</v>
      </c>
      <c r="F45" s="17">
        <v>45845</v>
      </c>
      <c r="G45" s="123">
        <f t="shared" ca="1" si="0"/>
        <v>0</v>
      </c>
    </row>
    <row r="46" spans="1:7" ht="20.100000000000001" customHeight="1">
      <c r="A46" s="5">
        <v>41</v>
      </c>
      <c r="B46" s="5">
        <v>2936</v>
      </c>
      <c r="C46" s="12" t="s">
        <v>197</v>
      </c>
      <c r="D46" s="10" t="s">
        <v>198</v>
      </c>
      <c r="E46" s="18">
        <v>8125544167</v>
      </c>
      <c r="F46" s="17">
        <v>45600</v>
      </c>
      <c r="G46" s="123">
        <f t="shared" ca="1" si="0"/>
        <v>1</v>
      </c>
    </row>
    <row r="47" spans="1:7" ht="20.100000000000001" customHeight="1">
      <c r="A47" s="5">
        <v>42</v>
      </c>
      <c r="B47" s="5">
        <v>2950</v>
      </c>
      <c r="C47" s="12" t="s">
        <v>390</v>
      </c>
      <c r="D47" s="10" t="s">
        <v>198</v>
      </c>
      <c r="E47" s="5">
        <v>9000024070</v>
      </c>
      <c r="F47" s="17">
        <v>45638</v>
      </c>
      <c r="G47" s="123">
        <f t="shared" ca="1" si="0"/>
        <v>1</v>
      </c>
    </row>
    <row r="48" spans="1:7" ht="20.100000000000001" customHeight="1">
      <c r="A48" s="5">
        <v>43</v>
      </c>
      <c r="B48" s="5">
        <v>633</v>
      </c>
      <c r="C48" s="16" t="s">
        <v>305</v>
      </c>
      <c r="D48" s="5" t="s">
        <v>320</v>
      </c>
      <c r="E48" s="5">
        <v>9494678628</v>
      </c>
      <c r="F48" s="13">
        <v>40380</v>
      </c>
      <c r="G48" s="123">
        <f t="shared" ca="1" si="0"/>
        <v>15</v>
      </c>
    </row>
    <row r="49" spans="1:7" ht="20.100000000000001" customHeight="1">
      <c r="A49" s="5">
        <v>44</v>
      </c>
      <c r="B49" s="5">
        <v>2285</v>
      </c>
      <c r="C49" s="16" t="s">
        <v>306</v>
      </c>
      <c r="D49" s="5" t="s">
        <v>321</v>
      </c>
      <c r="E49" s="5">
        <v>9640066261</v>
      </c>
      <c r="F49" s="13">
        <v>44718</v>
      </c>
      <c r="G49" s="123">
        <f t="shared" ca="1" si="0"/>
        <v>3</v>
      </c>
    </row>
    <row r="50" spans="1:7" ht="20.100000000000001" customHeight="1">
      <c r="A50" s="5">
        <v>45</v>
      </c>
      <c r="B50" s="5">
        <v>2925</v>
      </c>
      <c r="C50" s="12" t="s">
        <v>369</v>
      </c>
      <c r="D50" s="5" t="s">
        <v>62</v>
      </c>
      <c r="E50" s="18">
        <v>7995794652</v>
      </c>
      <c r="F50" s="285">
        <v>45582</v>
      </c>
      <c r="G50" s="123">
        <f t="shared" ca="1" si="0"/>
        <v>1</v>
      </c>
    </row>
    <row r="51" spans="1:7" ht="20.100000000000001" customHeight="1">
      <c r="A51" s="5">
        <v>46</v>
      </c>
      <c r="B51" s="5">
        <v>3052</v>
      </c>
      <c r="C51" s="12" t="s">
        <v>202</v>
      </c>
      <c r="D51" s="5" t="s">
        <v>372</v>
      </c>
      <c r="E51" s="18">
        <v>7331142998</v>
      </c>
      <c r="F51" s="17">
        <v>45778</v>
      </c>
      <c r="G51" s="123">
        <f t="shared" ca="1" si="0"/>
        <v>0</v>
      </c>
    </row>
    <row r="52" spans="1:7" ht="20.100000000000001" customHeight="1">
      <c r="A52" s="60"/>
      <c r="B52" s="238"/>
      <c r="C52" s="239"/>
      <c r="D52" s="238"/>
      <c r="E52" s="240"/>
      <c r="F52" s="241"/>
      <c r="G52" s="69"/>
    </row>
    <row r="53" spans="1:7" ht="20.100000000000001" customHeight="1">
      <c r="A53" s="242">
        <v>47</v>
      </c>
      <c r="B53" s="242">
        <v>30410</v>
      </c>
      <c r="C53" s="244" t="s">
        <v>408</v>
      </c>
      <c r="D53" s="242" t="s">
        <v>228</v>
      </c>
      <c r="E53" s="242">
        <v>7995622962</v>
      </c>
      <c r="F53" s="245">
        <v>44928</v>
      </c>
      <c r="G53" s="69"/>
    </row>
    <row r="54" spans="1:7" ht="20.100000000000001" customHeight="1">
      <c r="A54" s="242">
        <v>48</v>
      </c>
      <c r="B54" s="242">
        <v>30744</v>
      </c>
      <c r="C54" s="244" t="s">
        <v>308</v>
      </c>
      <c r="D54" s="242" t="s">
        <v>309</v>
      </c>
      <c r="E54" s="242">
        <v>8790500801</v>
      </c>
      <c r="F54" s="246">
        <v>45071</v>
      </c>
      <c r="G54" s="69"/>
    </row>
    <row r="55" spans="1:7" ht="20.100000000000001" customHeight="1">
      <c r="A55" s="568" t="s">
        <v>423</v>
      </c>
      <c r="B55" s="568"/>
      <c r="C55" s="568"/>
      <c r="D55" s="568"/>
      <c r="E55" s="568"/>
      <c r="F55" s="568"/>
      <c r="G55" s="568"/>
    </row>
    <row r="56" spans="1:7" ht="20.100000000000001" customHeight="1">
      <c r="A56" s="259" t="s">
        <v>445</v>
      </c>
      <c r="B56" s="259" t="s">
        <v>285</v>
      </c>
      <c r="C56" s="259" t="s">
        <v>446</v>
      </c>
      <c r="D56" s="259" t="s">
        <v>4</v>
      </c>
      <c r="E56" s="2" t="s">
        <v>8</v>
      </c>
      <c r="F56" s="3" t="s">
        <v>394</v>
      </c>
      <c r="G56" s="4" t="s">
        <v>395</v>
      </c>
    </row>
    <row r="57" spans="1:7" ht="20.100000000000001" customHeight="1">
      <c r="A57" s="5">
        <v>1</v>
      </c>
      <c r="B57" s="299">
        <v>30904</v>
      </c>
      <c r="C57" s="12" t="s">
        <v>406</v>
      </c>
      <c r="D57" s="5" t="s">
        <v>62</v>
      </c>
      <c r="E57" s="18">
        <v>8688928251</v>
      </c>
      <c r="F57" s="17">
        <v>45817</v>
      </c>
      <c r="G57" s="4"/>
    </row>
    <row r="58" spans="1:7" ht="20.100000000000001" customHeight="1">
      <c r="A58" s="5">
        <v>2</v>
      </c>
      <c r="B58" s="299">
        <v>30917</v>
      </c>
      <c r="C58" s="12" t="s">
        <v>424</v>
      </c>
      <c r="D58" s="5" t="s">
        <v>62</v>
      </c>
      <c r="E58" s="18">
        <v>7075775397</v>
      </c>
      <c r="F58" s="17">
        <v>45831</v>
      </c>
      <c r="G58" s="69"/>
    </row>
    <row r="59" spans="1:7" ht="20.100000000000001" customHeight="1">
      <c r="A59" s="5">
        <v>3</v>
      </c>
      <c r="B59" s="299">
        <v>30920</v>
      </c>
      <c r="C59" s="12" t="s">
        <v>425</v>
      </c>
      <c r="D59" s="5" t="s">
        <v>62</v>
      </c>
      <c r="E59" s="18">
        <v>7382266572</v>
      </c>
      <c r="F59" s="17">
        <v>45831</v>
      </c>
      <c r="G59" s="69"/>
    </row>
    <row r="60" spans="1:7" ht="20.100000000000001" customHeight="1">
      <c r="A60" s="5">
        <v>4</v>
      </c>
      <c r="B60" s="299">
        <v>30934</v>
      </c>
      <c r="C60" s="12" t="s">
        <v>426</v>
      </c>
      <c r="D60" s="5" t="s">
        <v>62</v>
      </c>
      <c r="E60" s="18">
        <v>7569374895</v>
      </c>
      <c r="F60" s="17">
        <v>45834</v>
      </c>
      <c r="G60" s="69"/>
    </row>
    <row r="61" spans="1:7" ht="20.100000000000001" customHeight="1">
      <c r="A61" s="5">
        <v>5</v>
      </c>
      <c r="B61" s="299">
        <v>30936</v>
      </c>
      <c r="C61" s="12" t="s">
        <v>427</v>
      </c>
      <c r="D61" s="5" t="s">
        <v>62</v>
      </c>
      <c r="E61" s="18">
        <v>8639469394</v>
      </c>
      <c r="F61" s="17">
        <v>45834</v>
      </c>
      <c r="G61" s="69"/>
    </row>
    <row r="62" spans="1:7" ht="20.100000000000001" customHeight="1">
      <c r="A62" s="5">
        <v>6</v>
      </c>
      <c r="B62" s="299">
        <v>30940</v>
      </c>
      <c r="C62" s="12" t="s">
        <v>428</v>
      </c>
      <c r="D62" s="5" t="s">
        <v>62</v>
      </c>
      <c r="E62" s="18">
        <v>9573979580</v>
      </c>
      <c r="F62" s="17">
        <v>45834</v>
      </c>
      <c r="G62" s="69"/>
    </row>
    <row r="63" spans="1:7" ht="20.100000000000001" customHeight="1">
      <c r="A63" s="5">
        <v>7</v>
      </c>
      <c r="B63" s="299">
        <v>30944</v>
      </c>
      <c r="C63" s="12" t="s">
        <v>429</v>
      </c>
      <c r="D63" s="5" t="s">
        <v>62</v>
      </c>
      <c r="E63" s="18">
        <v>8712118366</v>
      </c>
      <c r="F63" s="17">
        <v>45835</v>
      </c>
      <c r="G63" s="69"/>
    </row>
    <row r="64" spans="1:7" ht="20.100000000000001" customHeight="1">
      <c r="A64" s="5">
        <v>8</v>
      </c>
      <c r="B64" s="299">
        <v>30945</v>
      </c>
      <c r="C64" s="12" t="s">
        <v>430</v>
      </c>
      <c r="D64" s="5" t="s">
        <v>62</v>
      </c>
      <c r="E64" s="18">
        <v>6304016136</v>
      </c>
      <c r="F64" s="17">
        <v>45835</v>
      </c>
      <c r="G64" s="69"/>
    </row>
    <row r="65" spans="1:7" ht="20.100000000000001" customHeight="1">
      <c r="A65" s="5">
        <v>9</v>
      </c>
      <c r="B65" s="299">
        <v>30948</v>
      </c>
      <c r="C65" s="12" t="s">
        <v>431</v>
      </c>
      <c r="D65" s="5" t="s">
        <v>62</v>
      </c>
      <c r="E65" s="18">
        <v>8978224170</v>
      </c>
      <c r="F65" s="17">
        <v>45838</v>
      </c>
      <c r="G65" s="69"/>
    </row>
    <row r="66" spans="1:7" ht="20.100000000000001" customHeight="1">
      <c r="A66" s="5">
        <v>10</v>
      </c>
      <c r="B66" s="290">
        <v>30949</v>
      </c>
      <c r="C66" s="78" t="s">
        <v>432</v>
      </c>
      <c r="D66" s="290" t="s">
        <v>62</v>
      </c>
      <c r="E66" s="291">
        <v>6281953609</v>
      </c>
      <c r="F66" s="17">
        <v>45838</v>
      </c>
      <c r="G66" s="69"/>
    </row>
    <row r="67" spans="1:7" ht="20.100000000000001" customHeight="1">
      <c r="A67" s="5">
        <v>11</v>
      </c>
      <c r="B67" s="299">
        <v>30950</v>
      </c>
      <c r="C67" s="12" t="s">
        <v>433</v>
      </c>
      <c r="D67" s="5" t="s">
        <v>62</v>
      </c>
      <c r="E67" s="18">
        <v>7780289853</v>
      </c>
      <c r="F67" s="17">
        <v>45838</v>
      </c>
      <c r="G67" s="69"/>
    </row>
    <row r="68" spans="1:7" ht="20.100000000000001" customHeight="1">
      <c r="A68" s="5">
        <v>12</v>
      </c>
      <c r="B68" s="299">
        <v>30951</v>
      </c>
      <c r="C68" s="12" t="s">
        <v>434</v>
      </c>
      <c r="D68" s="5" t="s">
        <v>62</v>
      </c>
      <c r="E68" s="18">
        <v>9398268887</v>
      </c>
      <c r="F68" s="17">
        <v>45838</v>
      </c>
      <c r="G68" s="69"/>
    </row>
    <row r="69" spans="1:7" ht="20.100000000000001" customHeight="1">
      <c r="A69" s="5">
        <v>13</v>
      </c>
      <c r="B69" s="299">
        <v>30952</v>
      </c>
      <c r="C69" s="12" t="s">
        <v>435</v>
      </c>
      <c r="D69" s="5" t="s">
        <v>62</v>
      </c>
      <c r="E69" s="18">
        <v>7893194879</v>
      </c>
      <c r="F69" s="17">
        <v>45838</v>
      </c>
      <c r="G69" s="69"/>
    </row>
    <row r="70" spans="1:7" ht="20.100000000000001" customHeight="1">
      <c r="A70" s="5">
        <v>14</v>
      </c>
      <c r="B70" s="299">
        <v>30953</v>
      </c>
      <c r="C70" s="12" t="s">
        <v>436</v>
      </c>
      <c r="D70" s="5" t="s">
        <v>62</v>
      </c>
      <c r="E70" s="18">
        <v>8341347822</v>
      </c>
      <c r="F70" s="17">
        <v>45838</v>
      </c>
      <c r="G70" s="69"/>
    </row>
    <row r="71" spans="1:7" ht="20.100000000000001" customHeight="1">
      <c r="A71" s="5">
        <v>15</v>
      </c>
      <c r="B71" s="299">
        <v>30955</v>
      </c>
      <c r="C71" s="14" t="s">
        <v>437</v>
      </c>
      <c r="D71" s="5" t="s">
        <v>62</v>
      </c>
      <c r="E71" s="5">
        <v>6281270604</v>
      </c>
      <c r="F71" s="13">
        <v>45840</v>
      </c>
      <c r="G71" s="101"/>
    </row>
    <row r="72" spans="1:7" ht="20.100000000000001" customHeight="1">
      <c r="A72" s="5">
        <v>16</v>
      </c>
      <c r="B72" s="112">
        <v>30958</v>
      </c>
      <c r="C72" s="55" t="s">
        <v>438</v>
      </c>
      <c r="D72" s="5" t="s">
        <v>62</v>
      </c>
      <c r="E72" s="5">
        <v>8074663963</v>
      </c>
      <c r="F72" s="13">
        <v>45842</v>
      </c>
      <c r="G72" s="69"/>
    </row>
    <row r="73" spans="1:7" ht="20.100000000000001" customHeight="1">
      <c r="A73" s="5">
        <v>17</v>
      </c>
      <c r="B73" s="299">
        <v>30960</v>
      </c>
      <c r="C73" s="14" t="s">
        <v>439</v>
      </c>
      <c r="D73" s="5" t="s">
        <v>62</v>
      </c>
      <c r="E73" s="5">
        <v>9381847839</v>
      </c>
      <c r="F73" s="13">
        <v>45842</v>
      </c>
      <c r="G73" s="101"/>
    </row>
    <row r="74" spans="1:7" ht="20.100000000000001" customHeight="1">
      <c r="A74" s="5">
        <v>18</v>
      </c>
      <c r="B74" s="299">
        <v>30961</v>
      </c>
      <c r="C74" s="14" t="s">
        <v>440</v>
      </c>
      <c r="D74" s="5" t="s">
        <v>62</v>
      </c>
      <c r="E74" s="5">
        <v>6300368240</v>
      </c>
      <c r="F74" s="13">
        <v>45843</v>
      </c>
      <c r="G74" s="101"/>
    </row>
    <row r="75" spans="1:7" ht="20.100000000000001" customHeight="1">
      <c r="A75" s="5">
        <v>19</v>
      </c>
      <c r="B75" s="299">
        <v>30962</v>
      </c>
      <c r="C75" s="14" t="s">
        <v>447</v>
      </c>
      <c r="D75" s="5" t="s">
        <v>62</v>
      </c>
      <c r="E75" s="5">
        <v>9392954135</v>
      </c>
      <c r="F75" s="13">
        <v>45845</v>
      </c>
      <c r="G75" s="69"/>
    </row>
    <row r="76" spans="1:7" ht="20.100000000000001" customHeight="1">
      <c r="A76" s="5">
        <v>20</v>
      </c>
      <c r="B76" s="299">
        <v>30964</v>
      </c>
      <c r="C76" s="14" t="s">
        <v>448</v>
      </c>
      <c r="D76" s="5" t="s">
        <v>62</v>
      </c>
      <c r="E76" s="5">
        <v>9515172678</v>
      </c>
      <c r="F76" s="13" t="s">
        <v>449</v>
      </c>
      <c r="G76" s="69"/>
    </row>
    <row r="77" spans="1:7" ht="20.100000000000001" customHeight="1">
      <c r="A77" s="5">
        <v>21</v>
      </c>
      <c r="B77" s="299">
        <v>30966</v>
      </c>
      <c r="C77" s="14" t="s">
        <v>450</v>
      </c>
      <c r="D77" s="5" t="s">
        <v>62</v>
      </c>
      <c r="E77" s="5">
        <v>9866896657</v>
      </c>
      <c r="F77" s="13" t="s">
        <v>451</v>
      </c>
      <c r="G77" s="101"/>
    </row>
    <row r="78" spans="1:7" ht="20.100000000000001" customHeight="1">
      <c r="A78" s="5">
        <v>22</v>
      </c>
      <c r="B78" s="299">
        <v>30967</v>
      </c>
      <c r="C78" s="14" t="s">
        <v>452</v>
      </c>
      <c r="D78" s="5" t="s">
        <v>62</v>
      </c>
      <c r="E78" s="5">
        <v>7396362838</v>
      </c>
      <c r="F78" s="13" t="s">
        <v>451</v>
      </c>
      <c r="G78" s="101"/>
    </row>
    <row r="79" spans="1:7" ht="20.100000000000001" customHeight="1">
      <c r="A79" s="5">
        <v>23</v>
      </c>
      <c r="B79" s="299">
        <v>30969</v>
      </c>
      <c r="C79" s="16" t="s">
        <v>453</v>
      </c>
      <c r="D79" s="5" t="s">
        <v>62</v>
      </c>
      <c r="E79" s="5">
        <v>8247017365</v>
      </c>
      <c r="F79" s="13" t="s">
        <v>454</v>
      </c>
      <c r="G79" s="101"/>
    </row>
    <row r="80" spans="1:7" ht="20.100000000000001" customHeight="1">
      <c r="A80" s="5">
        <v>24</v>
      </c>
      <c r="B80" s="299">
        <v>30970</v>
      </c>
      <c r="C80" s="16" t="s">
        <v>455</v>
      </c>
      <c r="D80" s="5" t="s">
        <v>62</v>
      </c>
      <c r="E80" s="5">
        <v>8125869185</v>
      </c>
      <c r="F80" s="13" t="s">
        <v>454</v>
      </c>
      <c r="G80" s="101"/>
    </row>
    <row r="81" spans="1:7" ht="20.100000000000001" customHeight="1">
      <c r="A81" s="5">
        <v>25</v>
      </c>
      <c r="B81" s="299">
        <v>30971</v>
      </c>
      <c r="C81" s="16" t="s">
        <v>456</v>
      </c>
      <c r="D81" s="5" t="s">
        <v>62</v>
      </c>
      <c r="E81" s="260">
        <v>9000393290</v>
      </c>
      <c r="F81" s="23">
        <v>45847</v>
      </c>
      <c r="G81" s="260"/>
    </row>
    <row r="82" spans="1:7" ht="20.100000000000001" customHeight="1">
      <c r="A82" s="5">
        <v>26</v>
      </c>
      <c r="B82" s="290">
        <v>30974</v>
      </c>
      <c r="C82" s="304" t="s">
        <v>525</v>
      </c>
      <c r="D82" s="290" t="s">
        <v>62</v>
      </c>
      <c r="E82" s="290">
        <v>8074356201</v>
      </c>
      <c r="F82" s="13" t="s">
        <v>457</v>
      </c>
      <c r="G82" s="223">
        <v>45915</v>
      </c>
    </row>
    <row r="83" spans="1:7" ht="20.100000000000001" customHeight="1">
      <c r="A83" s="5">
        <v>27</v>
      </c>
      <c r="B83" s="299">
        <v>30981</v>
      </c>
      <c r="C83" s="16" t="s">
        <v>458</v>
      </c>
      <c r="D83" s="5" t="s">
        <v>62</v>
      </c>
      <c r="E83" s="5">
        <v>7382713002</v>
      </c>
      <c r="F83" s="13" t="s">
        <v>459</v>
      </c>
      <c r="G83" s="76"/>
    </row>
    <row r="84" spans="1:7" ht="20.100000000000001" customHeight="1">
      <c r="A84" s="5">
        <v>28</v>
      </c>
      <c r="B84" s="290">
        <v>30985</v>
      </c>
      <c r="C84" s="305" t="s">
        <v>460</v>
      </c>
      <c r="D84" s="290" t="s">
        <v>62</v>
      </c>
      <c r="E84" s="291">
        <v>9505271111</v>
      </c>
      <c r="F84" s="17">
        <v>45852</v>
      </c>
      <c r="G84" s="69"/>
    </row>
    <row r="85" spans="1:7" ht="20.100000000000001" customHeight="1">
      <c r="A85" s="5">
        <v>29</v>
      </c>
      <c r="B85" s="290">
        <v>30987</v>
      </c>
      <c r="C85" s="305" t="s">
        <v>461</v>
      </c>
      <c r="D85" s="290" t="s">
        <v>62</v>
      </c>
      <c r="E85" s="291">
        <v>7842638133</v>
      </c>
      <c r="F85" s="17">
        <v>45852</v>
      </c>
      <c r="G85" s="69"/>
    </row>
    <row r="86" spans="1:7" ht="20.100000000000001" customHeight="1">
      <c r="A86" s="5">
        <v>30</v>
      </c>
      <c r="B86" s="299">
        <v>30988</v>
      </c>
      <c r="C86" s="261" t="s">
        <v>462</v>
      </c>
      <c r="D86" s="5" t="s">
        <v>62</v>
      </c>
      <c r="E86" s="18">
        <v>9346441248</v>
      </c>
      <c r="F86" s="17" t="s">
        <v>463</v>
      </c>
      <c r="G86" s="69"/>
    </row>
    <row r="87" spans="1:7" ht="20.100000000000001" customHeight="1">
      <c r="A87" s="5">
        <v>31</v>
      </c>
      <c r="B87" s="299">
        <v>30989</v>
      </c>
      <c r="C87" s="261" t="s">
        <v>464</v>
      </c>
      <c r="D87" s="5" t="s">
        <v>62</v>
      </c>
      <c r="E87" s="18">
        <v>7995627385</v>
      </c>
      <c r="F87" s="17" t="s">
        <v>463</v>
      </c>
      <c r="G87" s="69"/>
    </row>
    <row r="88" spans="1:7" ht="20.100000000000001" customHeight="1">
      <c r="A88" s="5">
        <v>32</v>
      </c>
      <c r="B88" s="5">
        <v>30990</v>
      </c>
      <c r="C88" s="261" t="s">
        <v>526</v>
      </c>
      <c r="D88" s="5" t="s">
        <v>62</v>
      </c>
      <c r="E88" s="18">
        <v>8919291193</v>
      </c>
      <c r="F88" s="17">
        <v>45852</v>
      </c>
      <c r="G88" s="69"/>
    </row>
    <row r="89" spans="1:7" ht="20.100000000000001" customHeight="1">
      <c r="A89" s="5">
        <v>33</v>
      </c>
      <c r="B89" s="5">
        <v>30991</v>
      </c>
      <c r="C89" s="261" t="s">
        <v>465</v>
      </c>
      <c r="D89" s="5" t="s">
        <v>62</v>
      </c>
      <c r="E89" s="18">
        <v>9182851196</v>
      </c>
      <c r="F89" s="17">
        <v>45852</v>
      </c>
      <c r="G89" s="69"/>
    </row>
    <row r="90" spans="1:7" ht="20.100000000000001" customHeight="1">
      <c r="A90" s="5">
        <v>34</v>
      </c>
      <c r="B90" s="5">
        <v>30992</v>
      </c>
      <c r="C90" s="262" t="s">
        <v>466</v>
      </c>
      <c r="D90" s="5" t="s">
        <v>62</v>
      </c>
      <c r="E90" s="18">
        <v>7842218027</v>
      </c>
      <c r="F90" s="17">
        <v>45852</v>
      </c>
      <c r="G90" s="69"/>
    </row>
    <row r="91" spans="1:7" ht="20.100000000000001" customHeight="1">
      <c r="A91" s="5">
        <v>35</v>
      </c>
      <c r="B91" s="5">
        <v>30993</v>
      </c>
      <c r="C91" s="261" t="s">
        <v>467</v>
      </c>
      <c r="D91" s="5" t="s">
        <v>62</v>
      </c>
      <c r="E91" s="18">
        <v>9492080857</v>
      </c>
      <c r="F91" s="17">
        <v>45852</v>
      </c>
      <c r="G91" s="69"/>
    </row>
    <row r="92" spans="1:7" ht="20.100000000000001" customHeight="1">
      <c r="A92" s="5">
        <v>36</v>
      </c>
      <c r="B92" s="299">
        <v>30997</v>
      </c>
      <c r="C92" s="261" t="s">
        <v>468</v>
      </c>
      <c r="D92" s="5" t="s">
        <v>62</v>
      </c>
      <c r="E92" s="18">
        <v>7013229574</v>
      </c>
      <c r="F92" s="17" t="s">
        <v>469</v>
      </c>
      <c r="G92" s="69"/>
    </row>
    <row r="93" spans="1:7" ht="20.100000000000001" customHeight="1">
      <c r="A93" s="5">
        <v>37</v>
      </c>
      <c r="B93" s="300">
        <v>30999</v>
      </c>
      <c r="C93" s="284" t="s">
        <v>518</v>
      </c>
      <c r="D93" s="5" t="s">
        <v>62</v>
      </c>
      <c r="E93" s="18"/>
      <c r="F93" s="17"/>
      <c r="G93" s="69"/>
    </row>
    <row r="94" spans="1:7" ht="20.100000000000001" customHeight="1">
      <c r="A94" s="5">
        <v>38</v>
      </c>
      <c r="B94" s="300">
        <v>31001</v>
      </c>
      <c r="C94" s="284" t="s">
        <v>519</v>
      </c>
      <c r="D94" s="5" t="s">
        <v>62</v>
      </c>
      <c r="E94" s="18">
        <v>9100572462</v>
      </c>
      <c r="F94" s="17"/>
      <c r="G94" s="69"/>
    </row>
    <row r="95" spans="1:7" ht="20.100000000000001" customHeight="1">
      <c r="A95" s="5">
        <v>39</v>
      </c>
      <c r="B95" s="299">
        <v>31006</v>
      </c>
      <c r="C95" s="261" t="s">
        <v>513</v>
      </c>
      <c r="D95" s="5" t="s">
        <v>62</v>
      </c>
      <c r="E95" s="18">
        <v>8125924512</v>
      </c>
      <c r="F95" s="96">
        <v>45864</v>
      </c>
      <c r="G95" s="69"/>
    </row>
    <row r="96" spans="1:7" ht="20.100000000000001" customHeight="1">
      <c r="A96" s="5">
        <v>40</v>
      </c>
      <c r="B96" s="299">
        <v>31007</v>
      </c>
      <c r="C96" s="261" t="s">
        <v>516</v>
      </c>
      <c r="D96" s="5" t="s">
        <v>62</v>
      </c>
      <c r="E96" s="18">
        <v>8074825238</v>
      </c>
      <c r="F96" s="96">
        <v>45864</v>
      </c>
      <c r="G96" s="69"/>
    </row>
    <row r="97" spans="1:7" ht="20.100000000000001" customHeight="1">
      <c r="A97" s="5">
        <v>41</v>
      </c>
      <c r="B97" s="299">
        <v>31008</v>
      </c>
      <c r="C97" s="261" t="s">
        <v>510</v>
      </c>
      <c r="D97" s="5" t="s">
        <v>62</v>
      </c>
      <c r="E97" s="18">
        <v>7416250259</v>
      </c>
      <c r="F97" s="96">
        <v>45864</v>
      </c>
      <c r="G97" s="69"/>
    </row>
    <row r="98" spans="1:7" ht="20.100000000000001" customHeight="1">
      <c r="A98" s="5">
        <v>42</v>
      </c>
      <c r="B98" s="299">
        <v>31009</v>
      </c>
      <c r="C98" s="261" t="s">
        <v>511</v>
      </c>
      <c r="D98" s="5" t="s">
        <v>62</v>
      </c>
      <c r="E98" s="18">
        <v>9652560279</v>
      </c>
      <c r="F98" s="96">
        <v>45864</v>
      </c>
      <c r="G98" s="69"/>
    </row>
    <row r="99" spans="1:7" ht="20.100000000000001" customHeight="1">
      <c r="A99" s="5">
        <v>43</v>
      </c>
      <c r="B99" s="299">
        <v>31010</v>
      </c>
      <c r="C99" s="261" t="s">
        <v>515</v>
      </c>
      <c r="D99" s="5" t="s">
        <v>62</v>
      </c>
      <c r="E99" s="18">
        <v>6303868693</v>
      </c>
      <c r="F99" s="96">
        <v>45866</v>
      </c>
      <c r="G99" s="69"/>
    </row>
    <row r="100" spans="1:7" ht="20.100000000000001" customHeight="1">
      <c r="A100" s="5">
        <v>44</v>
      </c>
      <c r="B100" s="301">
        <v>31011</v>
      </c>
      <c r="C100" s="69" t="s">
        <v>514</v>
      </c>
      <c r="D100" s="5" t="s">
        <v>62</v>
      </c>
      <c r="E100" s="18">
        <v>7901533265</v>
      </c>
      <c r="F100" s="96">
        <v>45866</v>
      </c>
      <c r="G100" s="283" t="s">
        <v>520</v>
      </c>
    </row>
    <row r="101" spans="1:7" ht="20.100000000000001" customHeight="1">
      <c r="A101" s="5">
        <v>45</v>
      </c>
      <c r="B101" s="299">
        <v>31014</v>
      </c>
      <c r="C101" s="261" t="s">
        <v>509</v>
      </c>
      <c r="D101" s="5" t="s">
        <v>62</v>
      </c>
      <c r="E101" s="18">
        <v>7601073553</v>
      </c>
      <c r="F101" s="17"/>
      <c r="G101" s="69"/>
    </row>
    <row r="102" spans="1:7" ht="20.100000000000001" customHeight="1">
      <c r="A102" s="5">
        <v>46</v>
      </c>
      <c r="B102" s="299">
        <v>31016</v>
      </c>
      <c r="C102" s="261" t="s">
        <v>508</v>
      </c>
      <c r="D102" s="5" t="s">
        <v>62</v>
      </c>
      <c r="E102" s="18">
        <v>9125941185</v>
      </c>
      <c r="F102" s="96">
        <v>45867</v>
      </c>
      <c r="G102" s="69"/>
    </row>
    <row r="103" spans="1:7" ht="20.100000000000001" customHeight="1">
      <c r="A103" s="5">
        <v>47</v>
      </c>
      <c r="B103" s="299">
        <v>31017</v>
      </c>
      <c r="C103" s="12" t="s">
        <v>512</v>
      </c>
      <c r="D103" s="5" t="s">
        <v>62</v>
      </c>
      <c r="E103" s="18">
        <v>8179537456</v>
      </c>
      <c r="F103" s="17"/>
      <c r="G103" s="298"/>
    </row>
    <row r="104" spans="1:7" ht="20.100000000000001" customHeight="1">
      <c r="A104" s="5">
        <v>48</v>
      </c>
      <c r="B104" s="299">
        <v>31018</v>
      </c>
      <c r="C104" s="283" t="s">
        <v>517</v>
      </c>
      <c r="D104" s="5" t="s">
        <v>62</v>
      </c>
      <c r="E104" s="69"/>
      <c r="F104" s="96">
        <v>45869</v>
      </c>
      <c r="G104" s="298"/>
    </row>
    <row r="105" spans="1:7" ht="20.100000000000001" customHeight="1">
      <c r="A105" s="5">
        <v>49</v>
      </c>
      <c r="B105" s="303">
        <v>31045</v>
      </c>
      <c r="C105" s="262" t="s">
        <v>492</v>
      </c>
      <c r="D105" s="5" t="s">
        <v>62</v>
      </c>
      <c r="E105" s="18">
        <v>7674094619</v>
      </c>
      <c r="F105" s="17"/>
      <c r="G105" s="298"/>
    </row>
    <row r="106" spans="1:7" ht="20.100000000000001" customHeight="1">
      <c r="A106" s="5">
        <v>50</v>
      </c>
      <c r="B106" s="302">
        <v>31052</v>
      </c>
      <c r="C106" s="297" t="s">
        <v>523</v>
      </c>
      <c r="D106" s="5" t="s">
        <v>62</v>
      </c>
      <c r="E106" s="18">
        <v>9346781019</v>
      </c>
      <c r="F106" s="17"/>
      <c r="G106" s="298"/>
    </row>
    <row r="107" spans="1:7" ht="20.100000000000001" customHeight="1">
      <c r="A107" s="5">
        <v>51</v>
      </c>
      <c r="B107" s="299">
        <v>31055</v>
      </c>
      <c r="C107" s="262" t="s">
        <v>521</v>
      </c>
      <c r="D107" s="5" t="s">
        <v>62</v>
      </c>
      <c r="E107" s="18">
        <v>9505237020</v>
      </c>
      <c r="F107" s="17"/>
      <c r="G107" s="298"/>
    </row>
    <row r="108" spans="1:7" ht="20.100000000000001" customHeight="1">
      <c r="A108" s="5">
        <v>52</v>
      </c>
      <c r="B108" s="299">
        <v>31056</v>
      </c>
      <c r="C108" s="12" t="s">
        <v>524</v>
      </c>
      <c r="D108" s="5" t="s">
        <v>62</v>
      </c>
      <c r="E108" s="18">
        <v>9390166821</v>
      </c>
      <c r="F108" s="17">
        <v>45880</v>
      </c>
    </row>
    <row r="109" spans="1:7" ht="20.100000000000001" customHeight="1">
      <c r="A109" s="25"/>
      <c r="B109" s="26"/>
      <c r="C109" s="25"/>
      <c r="D109" s="26"/>
      <c r="E109" s="26"/>
      <c r="F109" s="26"/>
    </row>
    <row r="110" spans="1:7" ht="20.100000000000001" customHeight="1">
      <c r="A110" s="39" t="s">
        <v>323</v>
      </c>
      <c r="B110" s="40"/>
      <c r="C110" s="39"/>
      <c r="D110" s="40"/>
      <c r="E110" s="40"/>
      <c r="F110" s="26"/>
    </row>
    <row r="111" spans="1:7" ht="20.100000000000001" customHeight="1">
      <c r="A111" s="247">
        <v>1</v>
      </c>
      <c r="B111" s="248">
        <v>2646</v>
      </c>
      <c r="C111" s="249" t="s">
        <v>245</v>
      </c>
      <c r="D111" s="248" t="s">
        <v>267</v>
      </c>
      <c r="E111" s="247">
        <v>6300035358</v>
      </c>
      <c r="F111" s="250">
        <v>45253</v>
      </c>
    </row>
    <row r="112" spans="1:7" ht="20.100000000000001" customHeight="1">
      <c r="A112" s="247">
        <v>2</v>
      </c>
      <c r="B112" s="248">
        <v>2686</v>
      </c>
      <c r="C112" s="249" t="s">
        <v>268</v>
      </c>
      <c r="D112" s="248" t="s">
        <v>267</v>
      </c>
      <c r="E112" s="247">
        <v>8247346900</v>
      </c>
      <c r="F112" s="250">
        <v>45282</v>
      </c>
    </row>
    <row r="113" spans="1:6" ht="20.100000000000001" customHeight="1">
      <c r="A113" s="247">
        <v>3</v>
      </c>
      <c r="B113" s="248">
        <v>2852</v>
      </c>
      <c r="C113" s="249" t="s">
        <v>205</v>
      </c>
      <c r="D113" s="248" t="s">
        <v>147</v>
      </c>
      <c r="E113" s="247">
        <v>7981683088</v>
      </c>
      <c r="F113" s="250">
        <v>45513</v>
      </c>
    </row>
    <row r="114" spans="1:6" ht="20.100000000000001" customHeight="1">
      <c r="A114" s="247">
        <v>4</v>
      </c>
      <c r="B114" s="248">
        <v>2862</v>
      </c>
      <c r="C114" s="249" t="s">
        <v>206</v>
      </c>
      <c r="D114" s="248" t="s">
        <v>147</v>
      </c>
      <c r="E114" s="247">
        <v>9966109473</v>
      </c>
      <c r="F114" s="251" t="s">
        <v>410</v>
      </c>
    </row>
    <row r="115" spans="1:6" ht="20.100000000000001" customHeight="1">
      <c r="A115" s="247">
        <v>5</v>
      </c>
      <c r="B115" s="248">
        <v>2932</v>
      </c>
      <c r="C115" s="249" t="s">
        <v>207</v>
      </c>
      <c r="D115" s="248" t="s">
        <v>147</v>
      </c>
      <c r="E115" s="247">
        <v>7672052900</v>
      </c>
      <c r="F115" s="250">
        <v>45597</v>
      </c>
    </row>
    <row r="116" spans="1:6" ht="20.100000000000001" customHeight="1">
      <c r="A116" s="247">
        <v>6</v>
      </c>
      <c r="B116" s="248">
        <v>2935</v>
      </c>
      <c r="C116" s="249" t="s">
        <v>208</v>
      </c>
      <c r="D116" s="248" t="s">
        <v>147</v>
      </c>
      <c r="E116" s="247">
        <v>9948686959</v>
      </c>
      <c r="F116" s="250">
        <v>45600</v>
      </c>
    </row>
    <row r="117" spans="1:6" ht="20.100000000000001" customHeight="1">
      <c r="A117" s="247">
        <v>7</v>
      </c>
      <c r="B117" s="248">
        <v>2940</v>
      </c>
      <c r="C117" s="249" t="s">
        <v>209</v>
      </c>
      <c r="D117" s="248" t="s">
        <v>147</v>
      </c>
      <c r="E117" s="247">
        <v>7799595004</v>
      </c>
      <c r="F117" s="250">
        <v>45610</v>
      </c>
    </row>
    <row r="118" spans="1:6" ht="20.100000000000001" customHeight="1">
      <c r="A118" s="247">
        <v>8</v>
      </c>
      <c r="B118" s="248">
        <v>2952</v>
      </c>
      <c r="C118" s="252" t="s">
        <v>210</v>
      </c>
      <c r="D118" s="248" t="s">
        <v>147</v>
      </c>
      <c r="E118" s="247">
        <v>6302946907</v>
      </c>
      <c r="F118" s="251" t="s">
        <v>411</v>
      </c>
    </row>
    <row r="119" spans="1:6" ht="20.100000000000001" customHeight="1">
      <c r="A119" s="247">
        <v>9</v>
      </c>
      <c r="B119" s="248">
        <v>3023</v>
      </c>
      <c r="C119" s="252" t="s">
        <v>211</v>
      </c>
      <c r="D119" s="248" t="s">
        <v>147</v>
      </c>
      <c r="E119" s="247">
        <v>9182194446</v>
      </c>
      <c r="F119" s="253">
        <v>45726</v>
      </c>
    </row>
    <row r="120" spans="1:6" ht="20.100000000000001" customHeight="1">
      <c r="A120" s="247">
        <v>10</v>
      </c>
      <c r="B120" s="247">
        <v>3032</v>
      </c>
      <c r="C120" s="252" t="s">
        <v>470</v>
      </c>
      <c r="D120" s="248" t="s">
        <v>147</v>
      </c>
      <c r="E120" s="251">
        <v>8341287184</v>
      </c>
      <c r="F120" s="251" t="s">
        <v>412</v>
      </c>
    </row>
    <row r="121" spans="1:6" ht="20.100000000000001" customHeight="1">
      <c r="A121" s="247">
        <v>11</v>
      </c>
      <c r="B121" s="247">
        <v>3033</v>
      </c>
      <c r="C121" s="252" t="s">
        <v>471</v>
      </c>
      <c r="D121" s="248" t="s">
        <v>147</v>
      </c>
      <c r="E121" s="251">
        <v>9569464941</v>
      </c>
      <c r="F121" s="251" t="s">
        <v>413</v>
      </c>
    </row>
    <row r="122" spans="1:6" ht="20.100000000000001" customHeight="1">
      <c r="A122" s="247">
        <v>12</v>
      </c>
      <c r="B122" s="247">
        <v>3128</v>
      </c>
      <c r="C122" s="252" t="s">
        <v>472</v>
      </c>
      <c r="D122" s="248" t="s">
        <v>147</v>
      </c>
      <c r="E122" s="251">
        <v>9492426713</v>
      </c>
      <c r="F122" s="251" t="s">
        <v>473</v>
      </c>
    </row>
    <row r="123" spans="1:6" ht="20.100000000000001" customHeight="1">
      <c r="A123" s="56">
        <v>13</v>
      </c>
      <c r="B123" s="56">
        <v>3133</v>
      </c>
      <c r="C123" s="263" t="s">
        <v>474</v>
      </c>
      <c r="D123" s="248" t="s">
        <v>147</v>
      </c>
      <c r="E123" s="56">
        <v>7013885810</v>
      </c>
      <c r="F123" s="250">
        <v>45853</v>
      </c>
    </row>
    <row r="124" spans="1:6" ht="20.100000000000001" customHeight="1">
      <c r="A124" s="256"/>
      <c r="B124" s="256"/>
      <c r="C124" s="256"/>
      <c r="D124" s="256"/>
      <c r="E124" s="256"/>
      <c r="F124" s="254"/>
    </row>
    <row r="125" spans="1:6" ht="20.100000000000001" customHeight="1">
      <c r="A125" s="529"/>
      <c r="B125" s="529"/>
      <c r="C125" s="529"/>
      <c r="D125" s="529"/>
      <c r="E125" s="529"/>
      <c r="F125" s="254"/>
    </row>
    <row r="126" spans="1:6" ht="20.100000000000001" customHeight="1">
      <c r="A126" s="53">
        <v>1</v>
      </c>
      <c r="B126" s="53">
        <v>629</v>
      </c>
      <c r="C126" s="54" t="s">
        <v>248</v>
      </c>
      <c r="D126" s="53" t="s">
        <v>270</v>
      </c>
      <c r="E126" s="53">
        <v>9502200265</v>
      </c>
      <c r="F126" s="254"/>
    </row>
    <row r="127" spans="1:6" ht="20.100000000000001" customHeight="1">
      <c r="A127" s="53">
        <v>2</v>
      </c>
      <c r="B127" s="79">
        <v>2538</v>
      </c>
      <c r="C127" s="110" t="s">
        <v>271</v>
      </c>
      <c r="D127" s="79" t="s">
        <v>270</v>
      </c>
      <c r="E127" s="79">
        <v>9848526387</v>
      </c>
      <c r="F127" s="289">
        <v>45869</v>
      </c>
    </row>
    <row r="128" spans="1:6" ht="20.100000000000001" customHeight="1">
      <c r="A128" s="53">
        <v>3</v>
      </c>
      <c r="B128" s="53">
        <v>2613</v>
      </c>
      <c r="C128" s="54" t="s">
        <v>272</v>
      </c>
      <c r="D128" s="56" t="s">
        <v>251</v>
      </c>
      <c r="E128" s="53">
        <v>9573912337</v>
      </c>
      <c r="F128" s="26"/>
    </row>
    <row r="129" spans="1:9" ht="20.100000000000001" customHeight="1">
      <c r="A129" s="53">
        <v>4</v>
      </c>
      <c r="B129" s="53">
        <v>2700</v>
      </c>
      <c r="C129" s="54" t="s">
        <v>273</v>
      </c>
      <c r="D129" s="53" t="s">
        <v>251</v>
      </c>
      <c r="E129" s="53">
        <v>7416390127</v>
      </c>
      <c r="F129" s="26"/>
    </row>
    <row r="130" spans="1:9" ht="20.100000000000001" customHeight="1">
      <c r="A130" s="53">
        <v>5</v>
      </c>
      <c r="B130" s="53">
        <v>2996</v>
      </c>
      <c r="C130" s="54" t="s">
        <v>346</v>
      </c>
      <c r="D130" s="53" t="s">
        <v>251</v>
      </c>
      <c r="E130" s="53">
        <v>8142888477</v>
      </c>
      <c r="F130" s="26"/>
    </row>
    <row r="131" spans="1:9" ht="20.100000000000001" customHeight="1">
      <c r="A131" s="25"/>
      <c r="B131" s="26"/>
      <c r="C131" s="25"/>
      <c r="D131" s="26"/>
      <c r="E131" s="26"/>
      <c r="F131" s="26"/>
    </row>
    <row r="132" spans="1:9" ht="20.100000000000001" customHeight="1">
      <c r="A132" s="25"/>
      <c r="B132" s="26"/>
      <c r="C132" s="57" t="s">
        <v>414</v>
      </c>
      <c r="D132" s="57">
        <v>40</v>
      </c>
      <c r="E132" s="26"/>
      <c r="F132" s="26"/>
    </row>
    <row r="133" spans="1:9" ht="20.100000000000001" customHeight="1">
      <c r="A133" s="25"/>
      <c r="B133" s="26"/>
      <c r="C133" s="57" t="s">
        <v>198</v>
      </c>
      <c r="D133" s="57">
        <v>2</v>
      </c>
      <c r="E133" s="26"/>
      <c r="F133" s="26"/>
    </row>
    <row r="134" spans="1:9" ht="20.100000000000001" customHeight="1">
      <c r="A134" s="25"/>
      <c r="B134" s="26"/>
      <c r="C134" s="57" t="s">
        <v>234</v>
      </c>
      <c r="D134" s="57">
        <v>3</v>
      </c>
      <c r="E134" s="26"/>
    </row>
    <row r="135" spans="1:9" ht="20.100000000000001" customHeight="1">
      <c r="A135" s="25"/>
      <c r="B135" s="26"/>
      <c r="C135" s="57" t="s">
        <v>441</v>
      </c>
      <c r="D135" s="255" t="s">
        <v>442</v>
      </c>
      <c r="E135" s="26"/>
      <c r="F135" s="26"/>
    </row>
    <row r="136" spans="1:9" ht="20.100000000000001" customHeight="1">
      <c r="A136" s="25"/>
      <c r="B136" s="26"/>
      <c r="C136" s="57" t="s">
        <v>443</v>
      </c>
      <c r="D136" s="57">
        <v>30</v>
      </c>
      <c r="E136" s="26"/>
      <c r="F136" s="26"/>
    </row>
    <row r="137" spans="1:9" ht="20.100000000000001" customHeight="1">
      <c r="A137" s="25"/>
      <c r="B137" s="26"/>
      <c r="C137" s="57" t="s">
        <v>341</v>
      </c>
      <c r="D137" s="57">
        <v>2</v>
      </c>
      <c r="E137" s="26"/>
      <c r="F137" s="26"/>
    </row>
    <row r="138" spans="1:9" ht="20.100000000000001" customHeight="1">
      <c r="A138" s="25"/>
      <c r="B138" s="26"/>
      <c r="C138" s="57" t="s">
        <v>343</v>
      </c>
      <c r="D138" s="57">
        <v>13</v>
      </c>
      <c r="E138" s="26"/>
      <c r="F138" s="26"/>
    </row>
    <row r="139" spans="1:9" ht="20.100000000000001" customHeight="1">
      <c r="A139" s="25"/>
      <c r="B139" s="26"/>
      <c r="C139" s="57" t="s">
        <v>347</v>
      </c>
      <c r="D139" s="57">
        <v>5</v>
      </c>
      <c r="E139" s="26"/>
      <c r="F139" s="26"/>
    </row>
    <row r="140" spans="1:9" ht="20.100000000000001" customHeight="1">
      <c r="A140" s="25"/>
      <c r="B140" s="26"/>
      <c r="C140" s="57"/>
      <c r="D140" s="57">
        <v>97</v>
      </c>
      <c r="E140" s="26"/>
      <c r="F140" s="26"/>
    </row>
    <row r="144" spans="1:9" ht="15.6">
      <c r="B144" s="277" t="s">
        <v>493</v>
      </c>
      <c r="C144" s="281"/>
      <c r="D144" s="282"/>
      <c r="E144" s="277" t="s">
        <v>494</v>
      </c>
      <c r="F144" s="281"/>
      <c r="G144" s="282"/>
      <c r="H144" s="277" t="s">
        <v>495</v>
      </c>
      <c r="I144" s="277"/>
    </row>
    <row r="145" spans="2:9" ht="78">
      <c r="B145" s="277" t="s">
        <v>496</v>
      </c>
      <c r="C145" s="278" t="s">
        <v>497</v>
      </c>
      <c r="D145" s="278" t="s">
        <v>498</v>
      </c>
      <c r="E145" s="278" t="s">
        <v>499</v>
      </c>
      <c r="F145" s="278" t="s">
        <v>500</v>
      </c>
      <c r="G145" s="278" t="s">
        <v>501</v>
      </c>
      <c r="H145" s="278" t="s">
        <v>502</v>
      </c>
      <c r="I145" s="278" t="s">
        <v>507</v>
      </c>
    </row>
    <row r="146" spans="2:9" ht="15.6">
      <c r="B146" s="277" t="s">
        <v>19</v>
      </c>
      <c r="C146" s="279"/>
      <c r="D146" s="279"/>
      <c r="E146" s="279"/>
      <c r="F146" s="279"/>
      <c r="G146" s="279"/>
      <c r="H146" s="279">
        <v>2</v>
      </c>
      <c r="I146" s="279"/>
    </row>
    <row r="147" spans="2:9" ht="15.6">
      <c r="B147" s="277" t="s">
        <v>503</v>
      </c>
      <c r="C147" s="279"/>
      <c r="D147" s="279"/>
      <c r="E147" s="279"/>
      <c r="F147" s="279"/>
      <c r="G147" s="279"/>
      <c r="H147" s="279">
        <v>5</v>
      </c>
      <c r="I147" s="279"/>
    </row>
    <row r="148" spans="2:9" ht="15.6">
      <c r="B148" s="277" t="s">
        <v>504</v>
      </c>
      <c r="C148" s="279"/>
      <c r="D148" s="279"/>
      <c r="E148" s="279"/>
      <c r="F148" s="279"/>
      <c r="G148" s="279"/>
      <c r="H148" s="279">
        <v>33</v>
      </c>
      <c r="I148" s="279"/>
    </row>
    <row r="149" spans="2:9" ht="15.6">
      <c r="B149" s="277" t="s">
        <v>198</v>
      </c>
      <c r="C149" s="279"/>
      <c r="D149" s="279"/>
      <c r="E149" s="279"/>
      <c r="F149" s="279"/>
      <c r="G149" s="279"/>
      <c r="H149" s="279">
        <v>2</v>
      </c>
      <c r="I149" s="279"/>
    </row>
    <row r="150" spans="2:9" ht="15.6">
      <c r="B150" s="277" t="s">
        <v>309</v>
      </c>
      <c r="C150" s="279"/>
      <c r="D150" s="279"/>
      <c r="E150" s="279"/>
      <c r="F150" s="279"/>
      <c r="G150" s="279"/>
      <c r="H150" s="279">
        <v>1</v>
      </c>
      <c r="I150" s="279"/>
    </row>
    <row r="151" spans="2:9" ht="15.6">
      <c r="B151" s="277" t="s">
        <v>228</v>
      </c>
      <c r="C151" s="279"/>
      <c r="D151" s="279"/>
      <c r="E151" s="279"/>
      <c r="F151" s="279"/>
      <c r="G151" s="279"/>
      <c r="H151" s="279">
        <v>1</v>
      </c>
      <c r="I151" s="279"/>
    </row>
    <row r="152" spans="2:9" ht="15.6">
      <c r="B152" s="277" t="s">
        <v>505</v>
      </c>
      <c r="C152" s="279"/>
      <c r="D152" s="279"/>
      <c r="E152" s="279"/>
      <c r="F152" s="279"/>
      <c r="G152" s="279"/>
      <c r="H152" s="279"/>
      <c r="I152" s="279"/>
    </row>
    <row r="153" spans="2:9" ht="15.6">
      <c r="B153" s="277" t="s">
        <v>234</v>
      </c>
      <c r="C153" s="279"/>
      <c r="D153" s="279"/>
      <c r="E153" s="279"/>
      <c r="F153" s="279"/>
      <c r="G153" s="279"/>
      <c r="H153" s="279">
        <v>4</v>
      </c>
      <c r="I153" s="279"/>
    </row>
    <row r="154" spans="2:9" ht="15.6">
      <c r="B154" s="277" t="s">
        <v>25</v>
      </c>
      <c r="C154" s="279"/>
      <c r="D154" s="279"/>
      <c r="E154" s="279"/>
      <c r="F154" s="279"/>
      <c r="G154" s="279"/>
      <c r="H154" s="279"/>
      <c r="I154" s="279"/>
    </row>
    <row r="155" spans="2:9" ht="15.6">
      <c r="B155" s="69"/>
      <c r="C155" s="280"/>
      <c r="D155" s="280"/>
      <c r="E155" s="280"/>
      <c r="F155" s="280"/>
      <c r="G155" s="280"/>
      <c r="H155" s="279">
        <f>SUM(H146:H154)</f>
        <v>48</v>
      </c>
      <c r="I155" s="280"/>
    </row>
    <row r="156" spans="2:9" ht="187.2">
      <c r="B156" s="286" t="s">
        <v>506</v>
      </c>
      <c r="C156" s="287"/>
      <c r="D156" s="287"/>
      <c r="E156" s="287"/>
      <c r="F156" s="287"/>
      <c r="G156" s="287"/>
      <c r="H156" s="287"/>
      <c r="I156" s="288"/>
    </row>
    <row r="158" spans="2:9">
      <c r="B158" s="57" t="s">
        <v>414</v>
      </c>
      <c r="C158" s="57">
        <v>38</v>
      </c>
    </row>
    <row r="159" spans="2:9">
      <c r="B159" s="57" t="s">
        <v>198</v>
      </c>
      <c r="C159" s="57">
        <v>2</v>
      </c>
    </row>
    <row r="160" spans="2:9">
      <c r="B160" s="57" t="s">
        <v>234</v>
      </c>
      <c r="C160" s="57">
        <v>3</v>
      </c>
    </row>
    <row r="161" spans="2:3">
      <c r="B161" s="57" t="s">
        <v>441</v>
      </c>
      <c r="C161" s="255" t="s">
        <v>442</v>
      </c>
    </row>
    <row r="162" spans="2:3">
      <c r="B162" s="57" t="s">
        <v>443</v>
      </c>
      <c r="C162" s="57">
        <v>45</v>
      </c>
    </row>
    <row r="163" spans="2:3">
      <c r="B163" s="57" t="s">
        <v>341</v>
      </c>
      <c r="C163" s="57">
        <v>2</v>
      </c>
    </row>
    <row r="164" spans="2:3">
      <c r="B164" s="57" t="s">
        <v>343</v>
      </c>
      <c r="C164" s="57">
        <v>13</v>
      </c>
    </row>
    <row r="165" spans="2:3">
      <c r="B165" s="57" t="s">
        <v>347</v>
      </c>
      <c r="C165" s="57">
        <v>5</v>
      </c>
    </row>
    <row r="166" spans="2:3">
      <c r="B166" s="57"/>
      <c r="C166" s="57">
        <f>SUM(C158:C165)</f>
        <v>108</v>
      </c>
    </row>
  </sheetData>
  <mergeCells count="5">
    <mergeCell ref="A1:G1"/>
    <mergeCell ref="A2:G2"/>
    <mergeCell ref="A3:G3"/>
    <mergeCell ref="A55:G55"/>
    <mergeCell ref="A125:E125"/>
  </mergeCells>
  <conditionalFormatting sqref="B20:B21">
    <cfRule type="duplicateValues" dxfId="15" priority="1"/>
  </conditionalFormatting>
  <conditionalFormatting sqref="B30:B31">
    <cfRule type="duplicateValues" dxfId="14" priority="2"/>
  </conditionalFormatting>
  <pageMargins left="0.39370078740157483" right="0.39370078740157483" top="0.39370078740157483" bottom="0.39370078740157483" header="0.31496062992125984" footer="0.31496062992125984"/>
  <pageSetup paperSize="9" scale="85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146"/>
  <sheetViews>
    <sheetView topLeftCell="A50" workbookViewId="0">
      <selection activeCell="M61" sqref="M61"/>
    </sheetView>
  </sheetViews>
  <sheetFormatPr defaultRowHeight="20.100000000000001" customHeight="1"/>
  <cols>
    <col min="1" max="1" width="5.6640625" customWidth="1"/>
    <col min="2" max="2" width="5" customWidth="1"/>
    <col min="3" max="3" width="9.44140625" style="106" customWidth="1"/>
    <col min="4" max="4" width="34.44140625" bestFit="1" customWidth="1"/>
    <col min="5" max="5" width="27.5546875" bestFit="1" customWidth="1"/>
    <col min="6" max="6" width="14.88671875" style="1" bestFit="1" customWidth="1"/>
    <col min="7" max="7" width="12.44140625" bestFit="1" customWidth="1"/>
    <col min="8" max="8" width="11.6640625" bestFit="1" customWidth="1"/>
    <col min="9" max="9" width="15.109375" style="1" customWidth="1"/>
  </cols>
  <sheetData>
    <row r="1" spans="2:9" ht="16.5" customHeight="1">
      <c r="B1" s="558" t="s">
        <v>47</v>
      </c>
      <c r="C1" s="558"/>
      <c r="D1" s="558"/>
      <c r="E1" s="558"/>
      <c r="F1" s="558"/>
      <c r="G1" s="558"/>
      <c r="H1" s="558"/>
      <c r="I1" s="558"/>
    </row>
    <row r="2" spans="2:9" ht="15" customHeight="1">
      <c r="B2" s="558" t="s">
        <v>274</v>
      </c>
      <c r="C2" s="558"/>
      <c r="D2" s="558"/>
      <c r="E2" s="558"/>
      <c r="F2" s="558"/>
      <c r="G2" s="558"/>
      <c r="H2" s="558"/>
      <c r="I2" s="558"/>
    </row>
    <row r="3" spans="2:9" ht="20.100000000000001" customHeight="1">
      <c r="B3" s="522" t="s">
        <v>418</v>
      </c>
      <c r="C3" s="522"/>
      <c r="D3" s="522"/>
      <c r="E3" s="522"/>
      <c r="F3" s="522"/>
      <c r="G3" s="522"/>
      <c r="H3" s="522"/>
      <c r="I3" s="522"/>
    </row>
    <row r="4" spans="2:9" ht="9" customHeight="1">
      <c r="B4" s="257"/>
      <c r="C4" s="257"/>
      <c r="D4" s="257"/>
      <c r="E4" s="257"/>
      <c r="F4" s="257"/>
      <c r="G4" s="276"/>
      <c r="H4" s="258"/>
    </row>
    <row r="5" spans="2:9" ht="20.100000000000001" customHeight="1">
      <c r="B5" s="2" t="s">
        <v>1</v>
      </c>
      <c r="C5" s="2" t="s">
        <v>216</v>
      </c>
      <c r="D5" s="2" t="s">
        <v>3</v>
      </c>
      <c r="E5" s="2" t="s">
        <v>4</v>
      </c>
      <c r="F5" s="2" t="s">
        <v>8</v>
      </c>
      <c r="G5" s="3" t="s">
        <v>394</v>
      </c>
      <c r="H5" s="4" t="s">
        <v>551</v>
      </c>
      <c r="I5" s="123"/>
    </row>
    <row r="6" spans="2:9" ht="19.5" customHeight="1">
      <c r="B6" s="5">
        <v>1</v>
      </c>
      <c r="C6" s="5">
        <v>1251</v>
      </c>
      <c r="D6" s="6" t="s">
        <v>9</v>
      </c>
      <c r="E6" s="7" t="s">
        <v>522</v>
      </c>
      <c r="F6" s="7">
        <v>9840850744</v>
      </c>
      <c r="G6" s="8">
        <v>42387</v>
      </c>
      <c r="H6" s="89">
        <f t="shared" ref="H6:H25" ca="1" si="0">DATEDIF(G6,TODAY(),"y")</f>
        <v>10</v>
      </c>
      <c r="I6" s="123"/>
    </row>
    <row r="7" spans="2:9" ht="19.5" customHeight="1">
      <c r="B7" s="5">
        <v>2</v>
      </c>
      <c r="C7" s="5">
        <v>308</v>
      </c>
      <c r="D7" s="6" t="s">
        <v>299</v>
      </c>
      <c r="E7" s="7" t="s">
        <v>19</v>
      </c>
      <c r="F7" s="7">
        <v>9908823834</v>
      </c>
      <c r="G7" s="8">
        <v>39259</v>
      </c>
      <c r="H7" s="89">
        <f t="shared" ca="1" si="0"/>
        <v>18</v>
      </c>
      <c r="I7" s="123"/>
    </row>
    <row r="8" spans="2:9" ht="19.5" customHeight="1">
      <c r="B8" s="5">
        <v>3</v>
      </c>
      <c r="C8" s="5">
        <v>1182</v>
      </c>
      <c r="D8" s="9" t="s">
        <v>26</v>
      </c>
      <c r="E8" s="10" t="s">
        <v>396</v>
      </c>
      <c r="F8" s="7">
        <v>9676354404</v>
      </c>
      <c r="G8" s="11">
        <v>42193</v>
      </c>
      <c r="H8" s="89">
        <f t="shared" ca="1" si="0"/>
        <v>10</v>
      </c>
      <c r="I8" s="123"/>
    </row>
    <row r="9" spans="2:9" ht="19.5" customHeight="1">
      <c r="B9" s="5">
        <v>4</v>
      </c>
      <c r="C9" s="5">
        <v>523</v>
      </c>
      <c r="D9" s="12" t="s">
        <v>382</v>
      </c>
      <c r="E9" s="10" t="s">
        <v>180</v>
      </c>
      <c r="F9" s="5">
        <v>9441536410</v>
      </c>
      <c r="G9" s="13">
        <v>45694</v>
      </c>
      <c r="H9" s="89">
        <f t="shared" ca="1" si="0"/>
        <v>1</v>
      </c>
      <c r="I9" s="123"/>
    </row>
    <row r="10" spans="2:9" ht="19.5" customHeight="1">
      <c r="B10" s="5">
        <v>5</v>
      </c>
      <c r="C10" s="5">
        <v>2827</v>
      </c>
      <c r="D10" s="14" t="s">
        <v>279</v>
      </c>
      <c r="E10" s="10" t="s">
        <v>180</v>
      </c>
      <c r="F10" s="7">
        <v>8085575111</v>
      </c>
      <c r="G10" s="13">
        <v>45495</v>
      </c>
      <c r="H10" s="89">
        <f t="shared" ca="1" si="0"/>
        <v>1</v>
      </c>
      <c r="I10" s="123"/>
    </row>
    <row r="11" spans="2:9" ht="19.5" customHeight="1">
      <c r="B11" s="5">
        <v>6</v>
      </c>
      <c r="C11" s="5">
        <v>312</v>
      </c>
      <c r="D11" s="6" t="s">
        <v>42</v>
      </c>
      <c r="E11" s="15" t="s">
        <v>180</v>
      </c>
      <c r="F11" s="7">
        <v>8297208489</v>
      </c>
      <c r="G11" s="11">
        <v>40206</v>
      </c>
      <c r="H11" s="89">
        <f t="shared" ca="1" si="0"/>
        <v>16</v>
      </c>
      <c r="I11" s="123"/>
    </row>
    <row r="12" spans="2:9" ht="19.5" customHeight="1">
      <c r="B12" s="5">
        <v>7</v>
      </c>
      <c r="C12" s="5">
        <v>2090</v>
      </c>
      <c r="D12" s="16" t="s">
        <v>33</v>
      </c>
      <c r="E12" s="10" t="s">
        <v>180</v>
      </c>
      <c r="F12" s="7">
        <v>9441540580</v>
      </c>
      <c r="G12" s="11">
        <v>44107</v>
      </c>
      <c r="H12" s="89">
        <f t="shared" ca="1" si="0"/>
        <v>5</v>
      </c>
      <c r="I12" s="123"/>
    </row>
    <row r="13" spans="2:9" ht="19.5" customHeight="1">
      <c r="B13" s="5">
        <v>8</v>
      </c>
      <c r="C13" s="5">
        <v>2490</v>
      </c>
      <c r="D13" s="14" t="s">
        <v>83</v>
      </c>
      <c r="E13" s="7" t="s">
        <v>157</v>
      </c>
      <c r="F13" s="5">
        <v>9848129660</v>
      </c>
      <c r="G13" s="17">
        <v>45084</v>
      </c>
      <c r="H13" s="89">
        <f t="shared" ca="1" si="0"/>
        <v>2</v>
      </c>
      <c r="I13" s="123"/>
    </row>
    <row r="14" spans="2:9" ht="19.5" customHeight="1">
      <c r="B14" s="5">
        <v>9</v>
      </c>
      <c r="C14" s="5">
        <v>2499</v>
      </c>
      <c r="D14" s="12" t="s">
        <v>221</v>
      </c>
      <c r="E14" s="7" t="s">
        <v>157</v>
      </c>
      <c r="F14" s="5">
        <v>9994476533</v>
      </c>
      <c r="G14" s="13">
        <v>45103</v>
      </c>
      <c r="H14" s="89">
        <f t="shared" ca="1" si="0"/>
        <v>2</v>
      </c>
      <c r="I14" s="123"/>
    </row>
    <row r="15" spans="2:9" ht="19.5" customHeight="1">
      <c r="B15" s="5">
        <v>10</v>
      </c>
      <c r="C15" s="5">
        <v>2501</v>
      </c>
      <c r="D15" s="14" t="s">
        <v>101</v>
      </c>
      <c r="E15" s="7" t="s">
        <v>157</v>
      </c>
      <c r="F15" s="5">
        <v>9848052474</v>
      </c>
      <c r="G15" s="13">
        <v>45103</v>
      </c>
      <c r="H15" s="89">
        <f t="shared" ca="1" si="0"/>
        <v>2</v>
      </c>
      <c r="I15" s="123"/>
    </row>
    <row r="16" spans="2:9" ht="19.5" customHeight="1">
      <c r="B16" s="5">
        <v>11</v>
      </c>
      <c r="C16" s="5">
        <v>2541</v>
      </c>
      <c r="D16" s="16" t="s">
        <v>127</v>
      </c>
      <c r="E16" s="7" t="s">
        <v>157</v>
      </c>
      <c r="F16" s="5">
        <v>7981738522</v>
      </c>
      <c r="G16" s="17">
        <v>45139</v>
      </c>
      <c r="H16" s="89">
        <f t="shared" ca="1" si="0"/>
        <v>2</v>
      </c>
      <c r="I16" s="123"/>
    </row>
    <row r="17" spans="2:9" ht="19.5" customHeight="1">
      <c r="B17" s="5">
        <v>12</v>
      </c>
      <c r="C17" s="10">
        <v>2689</v>
      </c>
      <c r="D17" s="9" t="s">
        <v>154</v>
      </c>
      <c r="E17" s="7" t="s">
        <v>157</v>
      </c>
      <c r="F17" s="18">
        <v>7006157037</v>
      </c>
      <c r="G17" s="17">
        <v>45289</v>
      </c>
      <c r="H17" s="89">
        <f t="shared" ca="1" si="0"/>
        <v>2</v>
      </c>
      <c r="I17" s="123"/>
    </row>
    <row r="18" spans="2:9" ht="19.5" customHeight="1">
      <c r="B18" s="5">
        <v>13</v>
      </c>
      <c r="C18" s="5">
        <v>2947</v>
      </c>
      <c r="D18" s="12" t="s">
        <v>204</v>
      </c>
      <c r="E18" s="7" t="s">
        <v>157</v>
      </c>
      <c r="F18" s="5">
        <v>9032045840</v>
      </c>
      <c r="G18" s="17">
        <v>45632</v>
      </c>
      <c r="H18" s="89">
        <f t="shared" ca="1" si="0"/>
        <v>1</v>
      </c>
      <c r="I18" s="123"/>
    </row>
    <row r="19" spans="2:9" ht="19.5" customHeight="1">
      <c r="B19" s="5">
        <v>14</v>
      </c>
      <c r="C19" s="5">
        <v>540</v>
      </c>
      <c r="D19" s="6" t="s">
        <v>378</v>
      </c>
      <c r="E19" s="10" t="s">
        <v>68</v>
      </c>
      <c r="F19" s="7">
        <v>9550367172</v>
      </c>
      <c r="G19" s="11">
        <v>40032</v>
      </c>
      <c r="H19" s="89">
        <f t="shared" ca="1" si="0"/>
        <v>16</v>
      </c>
      <c r="I19" s="123"/>
    </row>
    <row r="20" spans="2:9" ht="19.5" customHeight="1">
      <c r="B20" s="5">
        <v>15</v>
      </c>
      <c r="C20" s="19" t="s">
        <v>397</v>
      </c>
      <c r="D20" s="9" t="s">
        <v>67</v>
      </c>
      <c r="E20" s="10" t="s">
        <v>68</v>
      </c>
      <c r="F20" s="5">
        <v>9614547390</v>
      </c>
      <c r="G20" s="11">
        <v>45014</v>
      </c>
      <c r="H20" s="89">
        <f t="shared" ca="1" si="0"/>
        <v>3</v>
      </c>
      <c r="I20" s="123"/>
    </row>
    <row r="21" spans="2:9" ht="19.5" customHeight="1">
      <c r="B21" s="5">
        <v>16</v>
      </c>
      <c r="C21" s="5">
        <v>2454</v>
      </c>
      <c r="D21" s="16" t="s">
        <v>318</v>
      </c>
      <c r="E21" s="10" t="s">
        <v>68</v>
      </c>
      <c r="F21" s="5">
        <v>7729990303</v>
      </c>
      <c r="G21" s="11">
        <v>45047</v>
      </c>
      <c r="H21" s="89">
        <f t="shared" ca="1" si="0"/>
        <v>2</v>
      </c>
      <c r="I21" s="123"/>
    </row>
    <row r="22" spans="2:9" ht="19.5" customHeight="1">
      <c r="B22" s="5">
        <v>17</v>
      </c>
      <c r="C22" s="5">
        <v>2502</v>
      </c>
      <c r="D22" s="14" t="s">
        <v>359</v>
      </c>
      <c r="E22" s="10" t="s">
        <v>68</v>
      </c>
      <c r="F22" s="5">
        <v>9600605782</v>
      </c>
      <c r="G22" s="13">
        <v>45105</v>
      </c>
      <c r="H22" s="89">
        <f t="shared" ca="1" si="0"/>
        <v>2</v>
      </c>
      <c r="I22" s="123"/>
    </row>
    <row r="23" spans="2:9" ht="19.5" customHeight="1">
      <c r="B23" s="5">
        <v>18</v>
      </c>
      <c r="C23" s="5">
        <v>2514</v>
      </c>
      <c r="D23" s="14" t="s">
        <v>113</v>
      </c>
      <c r="E23" s="10" t="s">
        <v>68</v>
      </c>
      <c r="F23" s="5">
        <v>9500312191</v>
      </c>
      <c r="G23" s="13">
        <v>45117</v>
      </c>
      <c r="H23" s="89">
        <f t="shared" ca="1" si="0"/>
        <v>2</v>
      </c>
      <c r="I23" s="123"/>
    </row>
    <row r="24" spans="2:9" ht="19.5" customHeight="1">
      <c r="B24" s="5">
        <v>19</v>
      </c>
      <c r="C24" s="5">
        <v>2519</v>
      </c>
      <c r="D24" s="14" t="s">
        <v>120</v>
      </c>
      <c r="E24" s="10" t="s">
        <v>68</v>
      </c>
      <c r="F24" s="10">
        <v>8978116834</v>
      </c>
      <c r="G24" s="17">
        <v>45121</v>
      </c>
      <c r="H24" s="89">
        <f t="shared" ca="1" si="0"/>
        <v>2</v>
      </c>
      <c r="I24" s="123"/>
    </row>
    <row r="25" spans="2:9" ht="19.5" customHeight="1">
      <c r="B25" s="5">
        <v>20</v>
      </c>
      <c r="C25" s="5">
        <v>2934</v>
      </c>
      <c r="D25" s="12" t="s">
        <v>193</v>
      </c>
      <c r="E25" s="10" t="s">
        <v>68</v>
      </c>
      <c r="F25" s="18">
        <v>9440664462</v>
      </c>
      <c r="G25" s="17">
        <v>45600</v>
      </c>
      <c r="H25" s="89">
        <f t="shared" ca="1" si="0"/>
        <v>1</v>
      </c>
      <c r="I25" s="123"/>
    </row>
    <row r="26" spans="2:9" ht="19.5" customHeight="1">
      <c r="B26" s="5">
        <v>21</v>
      </c>
      <c r="C26" s="5">
        <v>3080</v>
      </c>
      <c r="D26" s="12" t="s">
        <v>398</v>
      </c>
      <c r="E26" s="10" t="s">
        <v>68</v>
      </c>
      <c r="F26" s="18">
        <v>6300921477</v>
      </c>
      <c r="G26" s="17" t="s">
        <v>399</v>
      </c>
      <c r="H26" s="89">
        <v>0</v>
      </c>
      <c r="I26" s="123"/>
    </row>
    <row r="27" spans="2:9" ht="19.5" customHeight="1">
      <c r="B27" s="5">
        <v>22</v>
      </c>
      <c r="C27" s="237" t="s">
        <v>420</v>
      </c>
      <c r="D27" s="12" t="s">
        <v>415</v>
      </c>
      <c r="E27" s="10" t="s">
        <v>68</v>
      </c>
      <c r="F27" s="18">
        <v>9492688417</v>
      </c>
      <c r="G27" s="17" t="s">
        <v>421</v>
      </c>
      <c r="H27" s="89">
        <v>0</v>
      </c>
      <c r="I27" s="123"/>
    </row>
    <row r="28" spans="2:9" ht="19.5" customHeight="1">
      <c r="B28" s="5">
        <v>23</v>
      </c>
      <c r="C28" s="5">
        <v>1181</v>
      </c>
      <c r="D28" s="9" t="s">
        <v>55</v>
      </c>
      <c r="E28" s="10" t="s">
        <v>68</v>
      </c>
      <c r="F28" s="7">
        <v>9493670612</v>
      </c>
      <c r="G28" s="11">
        <v>42193</v>
      </c>
      <c r="H28" s="89">
        <f t="shared" ref="H28:H36" ca="1" si="1">DATEDIF(G28,TODAY(),"y")</f>
        <v>10</v>
      </c>
      <c r="I28" s="123"/>
    </row>
    <row r="29" spans="2:9" ht="19.5" customHeight="1">
      <c r="B29" s="5">
        <v>24</v>
      </c>
      <c r="C29" s="5">
        <v>1243</v>
      </c>
      <c r="D29" s="9" t="s">
        <v>58</v>
      </c>
      <c r="E29" s="10" t="s">
        <v>68</v>
      </c>
      <c r="F29" s="7">
        <v>8790166779</v>
      </c>
      <c r="G29" s="11">
        <v>42354</v>
      </c>
      <c r="H29" s="89">
        <f t="shared" ca="1" si="1"/>
        <v>10</v>
      </c>
      <c r="I29" s="123"/>
    </row>
    <row r="30" spans="2:9" ht="19.5" customHeight="1">
      <c r="B30" s="5">
        <v>25</v>
      </c>
      <c r="C30" s="5">
        <v>2432</v>
      </c>
      <c r="D30" s="16" t="s">
        <v>280</v>
      </c>
      <c r="E30" s="10" t="s">
        <v>68</v>
      </c>
      <c r="F30" s="5">
        <v>7093243607</v>
      </c>
      <c r="G30" s="13">
        <v>44982</v>
      </c>
      <c r="H30" s="89">
        <f t="shared" ca="1" si="1"/>
        <v>3</v>
      </c>
      <c r="I30" s="123"/>
    </row>
    <row r="31" spans="2:9" ht="19.5" customHeight="1">
      <c r="B31" s="5">
        <v>26</v>
      </c>
      <c r="C31" s="5">
        <v>2728</v>
      </c>
      <c r="D31" s="14" t="s">
        <v>384</v>
      </c>
      <c r="E31" s="10" t="s">
        <v>68</v>
      </c>
      <c r="F31" s="5">
        <v>7981960066</v>
      </c>
      <c r="G31" s="13">
        <v>45385</v>
      </c>
      <c r="H31" s="89">
        <f t="shared" ca="1" si="1"/>
        <v>2</v>
      </c>
      <c r="I31" s="123"/>
    </row>
    <row r="32" spans="2:9" ht="19.5" customHeight="1">
      <c r="B32" s="5">
        <v>27</v>
      </c>
      <c r="C32" s="5">
        <v>2765</v>
      </c>
      <c r="D32" s="16" t="s">
        <v>168</v>
      </c>
      <c r="E32" s="10" t="s">
        <v>68</v>
      </c>
      <c r="F32" s="5">
        <v>9788682940</v>
      </c>
      <c r="G32" s="17">
        <v>45453</v>
      </c>
      <c r="H32" s="89">
        <f t="shared" ca="1" si="1"/>
        <v>1</v>
      </c>
      <c r="I32" s="123"/>
    </row>
    <row r="33" spans="2:9" ht="19.5" customHeight="1">
      <c r="B33" s="5">
        <v>28</v>
      </c>
      <c r="C33" s="5">
        <v>2512</v>
      </c>
      <c r="D33" s="16" t="s">
        <v>189</v>
      </c>
      <c r="E33" s="10" t="s">
        <v>68</v>
      </c>
      <c r="F33" s="5">
        <v>9292709507</v>
      </c>
      <c r="G33" s="23">
        <v>45117</v>
      </c>
      <c r="H33" s="89">
        <f t="shared" ca="1" si="1"/>
        <v>2</v>
      </c>
      <c r="I33" s="123"/>
    </row>
    <row r="34" spans="2:9" ht="19.5" customHeight="1">
      <c r="B34" s="5">
        <v>29</v>
      </c>
      <c r="C34" s="5">
        <v>2898</v>
      </c>
      <c r="D34" s="12" t="s">
        <v>190</v>
      </c>
      <c r="E34" s="10" t="s">
        <v>68</v>
      </c>
      <c r="F34" s="5">
        <v>9989895732</v>
      </c>
      <c r="G34" s="17">
        <v>45531</v>
      </c>
      <c r="H34" s="89">
        <f t="shared" ca="1" si="1"/>
        <v>1</v>
      </c>
      <c r="I34" s="123"/>
    </row>
    <row r="35" spans="2:9" ht="19.5" customHeight="1">
      <c r="B35" s="5">
        <v>30</v>
      </c>
      <c r="C35" s="5">
        <v>2965</v>
      </c>
      <c r="D35" s="12" t="s">
        <v>365</v>
      </c>
      <c r="E35" s="5" t="s">
        <v>68</v>
      </c>
      <c r="F35" s="18">
        <v>9642674547</v>
      </c>
      <c r="G35" s="17">
        <v>45663</v>
      </c>
      <c r="H35" s="89">
        <f t="shared" ca="1" si="1"/>
        <v>1</v>
      </c>
      <c r="I35" s="123"/>
    </row>
    <row r="36" spans="2:9" ht="19.5" customHeight="1">
      <c r="B36" s="5">
        <v>31</v>
      </c>
      <c r="C36" s="5">
        <v>3038</v>
      </c>
      <c r="D36" s="12" t="s">
        <v>385</v>
      </c>
      <c r="E36" s="5" t="s">
        <v>68</v>
      </c>
      <c r="F36" s="18">
        <v>8330983764</v>
      </c>
      <c r="G36" s="17">
        <v>45742</v>
      </c>
      <c r="H36" s="89">
        <f t="shared" ca="1" si="1"/>
        <v>1</v>
      </c>
      <c r="I36" s="123"/>
    </row>
    <row r="37" spans="2:9" ht="19.5" customHeight="1">
      <c r="B37" s="5">
        <v>32</v>
      </c>
      <c r="C37" s="5">
        <v>3073</v>
      </c>
      <c r="D37" s="12" t="s">
        <v>400</v>
      </c>
      <c r="E37" s="5" t="s">
        <v>68</v>
      </c>
      <c r="F37" s="18">
        <v>9885657789</v>
      </c>
      <c r="G37" s="18" t="s">
        <v>401</v>
      </c>
      <c r="H37" s="89">
        <v>0</v>
      </c>
      <c r="I37" s="123"/>
    </row>
    <row r="38" spans="2:9" ht="19.5" customHeight="1">
      <c r="B38" s="5">
        <v>33</v>
      </c>
      <c r="C38" s="5">
        <v>3081</v>
      </c>
      <c r="D38" s="12" t="s">
        <v>419</v>
      </c>
      <c r="E38" s="5" t="s">
        <v>68</v>
      </c>
      <c r="F38" s="18">
        <v>7338323477</v>
      </c>
      <c r="G38" s="18" t="s">
        <v>403</v>
      </c>
      <c r="H38" s="89">
        <v>0</v>
      </c>
      <c r="I38" s="123"/>
    </row>
    <row r="39" spans="2:9" ht="19.5" customHeight="1">
      <c r="B39" s="5">
        <v>34</v>
      </c>
      <c r="C39" s="5">
        <v>3084</v>
      </c>
      <c r="D39" s="12" t="s">
        <v>404</v>
      </c>
      <c r="E39" s="5" t="s">
        <v>68</v>
      </c>
      <c r="F39" s="18">
        <v>9492617314</v>
      </c>
      <c r="G39" s="18" t="s">
        <v>405</v>
      </c>
      <c r="H39" s="89">
        <v>0</v>
      </c>
      <c r="I39" s="123"/>
    </row>
    <row r="40" spans="2:9" ht="19.5" customHeight="1">
      <c r="B40" s="5">
        <v>35</v>
      </c>
      <c r="C40" s="5">
        <v>2921</v>
      </c>
      <c r="D40" s="12" t="s">
        <v>364</v>
      </c>
      <c r="E40" s="10" t="s">
        <v>192</v>
      </c>
      <c r="F40" s="18">
        <v>9014766760</v>
      </c>
      <c r="G40" s="17">
        <v>45580</v>
      </c>
      <c r="H40" s="89">
        <f t="shared" ref="H40:H48" ca="1" si="2">DATEDIF(G40,TODAY(),"y")</f>
        <v>1</v>
      </c>
      <c r="I40" s="123"/>
    </row>
    <row r="41" spans="2:9" ht="19.5" customHeight="1">
      <c r="B41" s="5">
        <v>36</v>
      </c>
      <c r="C41" s="76">
        <v>3089</v>
      </c>
      <c r="D41" s="69" t="s">
        <v>416</v>
      </c>
      <c r="E41" s="123" t="s">
        <v>417</v>
      </c>
      <c r="F41" s="123">
        <v>8790242128</v>
      </c>
      <c r="G41" s="96">
        <v>45826</v>
      </c>
      <c r="H41" s="89">
        <f t="shared" ca="1" si="2"/>
        <v>0</v>
      </c>
      <c r="I41" s="123"/>
    </row>
    <row r="42" spans="2:9" ht="19.5" customHeight="1">
      <c r="B42" s="5">
        <v>37</v>
      </c>
      <c r="C42" s="5">
        <v>3129</v>
      </c>
      <c r="D42" s="12" t="s">
        <v>422</v>
      </c>
      <c r="E42" s="5" t="s">
        <v>68</v>
      </c>
      <c r="F42" s="18">
        <v>9491432819</v>
      </c>
      <c r="G42" s="17">
        <v>45845</v>
      </c>
      <c r="H42" s="89">
        <f t="shared" ca="1" si="2"/>
        <v>0</v>
      </c>
      <c r="I42" s="123"/>
    </row>
    <row r="43" spans="2:9" ht="19.5" customHeight="1">
      <c r="B43" s="5">
        <v>38</v>
      </c>
      <c r="C43" s="5">
        <v>2936</v>
      </c>
      <c r="D43" s="12" t="s">
        <v>197</v>
      </c>
      <c r="E43" s="10" t="s">
        <v>198</v>
      </c>
      <c r="F43" s="18">
        <v>8125544167</v>
      </c>
      <c r="G43" s="17">
        <v>45600</v>
      </c>
      <c r="H43" s="89">
        <f t="shared" ca="1" si="2"/>
        <v>1</v>
      </c>
      <c r="I43" s="123"/>
    </row>
    <row r="44" spans="2:9" ht="19.5" customHeight="1">
      <c r="B44" s="5">
        <v>39</v>
      </c>
      <c r="C44" s="5">
        <v>2950</v>
      </c>
      <c r="D44" s="12" t="s">
        <v>390</v>
      </c>
      <c r="E44" s="10" t="s">
        <v>198</v>
      </c>
      <c r="F44" s="5">
        <v>9000024070</v>
      </c>
      <c r="G44" s="17">
        <v>45638</v>
      </c>
      <c r="H44" s="89">
        <f t="shared" ca="1" si="2"/>
        <v>1</v>
      </c>
      <c r="I44" s="123"/>
    </row>
    <row r="45" spans="2:9" ht="19.5" customHeight="1">
      <c r="B45" s="5">
        <v>40</v>
      </c>
      <c r="C45" s="5">
        <v>633</v>
      </c>
      <c r="D45" s="16" t="s">
        <v>305</v>
      </c>
      <c r="E45" s="5" t="s">
        <v>320</v>
      </c>
      <c r="F45" s="5">
        <v>9494678628</v>
      </c>
      <c r="G45" s="13">
        <v>40380</v>
      </c>
      <c r="H45" s="89">
        <f t="shared" ca="1" si="2"/>
        <v>15</v>
      </c>
      <c r="I45" s="123"/>
    </row>
    <row r="46" spans="2:9" ht="19.5" customHeight="1">
      <c r="B46" s="5">
        <v>41</v>
      </c>
      <c r="C46" s="5">
        <v>2285</v>
      </c>
      <c r="D46" s="16" t="s">
        <v>306</v>
      </c>
      <c r="E46" s="5" t="s">
        <v>321</v>
      </c>
      <c r="F46" s="5">
        <v>9640066261</v>
      </c>
      <c r="G46" s="13">
        <v>44718</v>
      </c>
      <c r="H46" s="89">
        <f t="shared" ca="1" si="2"/>
        <v>3</v>
      </c>
      <c r="I46" s="123"/>
    </row>
    <row r="47" spans="2:9" ht="19.5" customHeight="1">
      <c r="B47" s="5">
        <v>42</v>
      </c>
      <c r="C47" s="5">
        <v>2925</v>
      </c>
      <c r="D47" s="12" t="s">
        <v>369</v>
      </c>
      <c r="E47" s="5" t="s">
        <v>62</v>
      </c>
      <c r="F47" s="18">
        <v>7995794652</v>
      </c>
      <c r="G47" s="293">
        <v>45582</v>
      </c>
      <c r="H47" s="89">
        <f t="shared" ca="1" si="2"/>
        <v>1</v>
      </c>
      <c r="I47" s="123"/>
    </row>
    <row r="48" spans="2:9" ht="19.5" customHeight="1">
      <c r="B48" s="5">
        <v>43</v>
      </c>
      <c r="C48" s="5">
        <v>3052</v>
      </c>
      <c r="D48" s="12" t="s">
        <v>202</v>
      </c>
      <c r="E48" s="5" t="s">
        <v>372</v>
      </c>
      <c r="F48" s="18">
        <v>7331142998</v>
      </c>
      <c r="G48" s="17">
        <v>45778</v>
      </c>
      <c r="H48" s="89">
        <f t="shared" ca="1" si="2"/>
        <v>0</v>
      </c>
      <c r="I48" s="123"/>
    </row>
    <row r="49" spans="2:9" ht="9" customHeight="1">
      <c r="B49" s="371"/>
      <c r="C49" s="372"/>
      <c r="D49" s="373"/>
      <c r="E49" s="372"/>
      <c r="F49" s="374"/>
      <c r="G49" s="375"/>
      <c r="H49" s="376"/>
    </row>
    <row r="50" spans="2:9" ht="20.100000000000001" customHeight="1">
      <c r="B50" s="242">
        <v>44</v>
      </c>
      <c r="C50" s="242">
        <v>30410</v>
      </c>
      <c r="D50" s="244" t="s">
        <v>408</v>
      </c>
      <c r="E50" s="242" t="s">
        <v>228</v>
      </c>
      <c r="F50" s="242">
        <v>7995622962</v>
      </c>
      <c r="G50" s="245">
        <v>44928</v>
      </c>
      <c r="H50" s="69"/>
    </row>
    <row r="51" spans="2:9" ht="20.100000000000001" customHeight="1">
      <c r="B51" s="242">
        <v>45</v>
      </c>
      <c r="C51" s="242">
        <v>30744</v>
      </c>
      <c r="D51" s="244" t="s">
        <v>308</v>
      </c>
      <c r="E51" s="242" t="s">
        <v>309</v>
      </c>
      <c r="F51" s="242">
        <v>8790500801</v>
      </c>
      <c r="G51" s="246">
        <v>45071</v>
      </c>
      <c r="H51" s="69"/>
    </row>
    <row r="52" spans="2:9" ht="20.100000000000001" customHeight="1">
      <c r="B52" s="361"/>
      <c r="C52" s="361"/>
      <c r="D52" s="362"/>
      <c r="E52" s="361"/>
      <c r="F52" s="361"/>
      <c r="G52" s="363"/>
    </row>
    <row r="53" spans="2:9" ht="20.100000000000001" customHeight="1">
      <c r="B53" s="361"/>
      <c r="C53" s="361"/>
      <c r="D53" s="362"/>
      <c r="E53" s="361"/>
      <c r="F53" s="361"/>
      <c r="G53" s="363"/>
    </row>
    <row r="54" spans="2:9" ht="20.100000000000001" customHeight="1">
      <c r="B54" s="569" t="s">
        <v>423</v>
      </c>
      <c r="C54" s="569"/>
      <c r="D54" s="569"/>
      <c r="E54" s="569"/>
      <c r="F54" s="569"/>
      <c r="G54" s="569"/>
      <c r="H54" s="569"/>
      <c r="I54" s="570"/>
    </row>
    <row r="55" spans="2:9" ht="7.5" customHeight="1">
      <c r="B55" s="572"/>
      <c r="C55" s="573"/>
      <c r="D55" s="573"/>
      <c r="E55" s="573"/>
      <c r="F55" s="574"/>
      <c r="G55" s="377"/>
      <c r="H55" s="377"/>
      <c r="I55" s="571"/>
    </row>
    <row r="56" spans="2:9" ht="28.5" customHeight="1">
      <c r="B56" s="259" t="s">
        <v>445</v>
      </c>
      <c r="C56" s="259" t="s">
        <v>285</v>
      </c>
      <c r="D56" s="259" t="s">
        <v>446</v>
      </c>
      <c r="E56" s="259" t="s">
        <v>4</v>
      </c>
      <c r="F56" s="2" t="s">
        <v>8</v>
      </c>
      <c r="G56" s="3" t="s">
        <v>394</v>
      </c>
      <c r="H56" s="4" t="s">
        <v>395</v>
      </c>
      <c r="I56" s="123"/>
    </row>
    <row r="57" spans="2:9" ht="17.25" customHeight="1">
      <c r="B57" s="5">
        <v>1</v>
      </c>
      <c r="C57" s="306">
        <v>30904</v>
      </c>
      <c r="D57" s="12" t="s">
        <v>406</v>
      </c>
      <c r="E57" s="5" t="s">
        <v>62</v>
      </c>
      <c r="F57" s="18">
        <v>8688928251</v>
      </c>
      <c r="G57" s="17">
        <v>45817</v>
      </c>
      <c r="H57" s="4"/>
      <c r="I57" s="123"/>
    </row>
    <row r="58" spans="2:9" ht="17.25" customHeight="1">
      <c r="B58" s="5">
        <v>2</v>
      </c>
      <c r="C58" s="306">
        <v>30917</v>
      </c>
      <c r="D58" s="12" t="s">
        <v>424</v>
      </c>
      <c r="E58" s="5" t="s">
        <v>62</v>
      </c>
      <c r="F58" s="18">
        <v>7075775397</v>
      </c>
      <c r="G58" s="17">
        <v>45831</v>
      </c>
      <c r="H58" s="69"/>
      <c r="I58" s="123"/>
    </row>
    <row r="59" spans="2:9" ht="17.25" customHeight="1">
      <c r="B59" s="5">
        <v>3</v>
      </c>
      <c r="C59" s="306">
        <v>30920</v>
      </c>
      <c r="D59" s="12" t="s">
        <v>425</v>
      </c>
      <c r="E59" s="5" t="s">
        <v>62</v>
      </c>
      <c r="F59" s="18">
        <v>7382266572</v>
      </c>
      <c r="G59" s="17">
        <v>45831</v>
      </c>
      <c r="H59" s="69"/>
      <c r="I59" s="123"/>
    </row>
    <row r="60" spans="2:9" ht="17.25" customHeight="1">
      <c r="B60" s="5">
        <v>4</v>
      </c>
      <c r="C60" s="306">
        <v>30934</v>
      </c>
      <c r="D60" s="12" t="s">
        <v>426</v>
      </c>
      <c r="E60" s="5" t="s">
        <v>62</v>
      </c>
      <c r="F60" s="18">
        <v>7569374895</v>
      </c>
      <c r="G60" s="17">
        <v>45834</v>
      </c>
      <c r="H60" s="69"/>
      <c r="I60" s="123"/>
    </row>
    <row r="61" spans="2:9" ht="17.25" customHeight="1">
      <c r="B61" s="5">
        <v>5</v>
      </c>
      <c r="C61" s="306">
        <v>30936</v>
      </c>
      <c r="D61" s="12" t="s">
        <v>427</v>
      </c>
      <c r="E61" s="5" t="s">
        <v>62</v>
      </c>
      <c r="F61" s="18">
        <v>8639469394</v>
      </c>
      <c r="G61" s="17">
        <v>45834</v>
      </c>
      <c r="H61" s="69"/>
      <c r="I61" s="123"/>
    </row>
    <row r="62" spans="2:9" ht="17.25" customHeight="1">
      <c r="B62" s="5">
        <v>6</v>
      </c>
      <c r="C62" s="306">
        <v>30940</v>
      </c>
      <c r="D62" s="12" t="s">
        <v>428</v>
      </c>
      <c r="E62" s="5" t="s">
        <v>62</v>
      </c>
      <c r="F62" s="18">
        <v>9573979580</v>
      </c>
      <c r="G62" s="17">
        <v>45834</v>
      </c>
      <c r="H62" s="69"/>
      <c r="I62" s="123"/>
    </row>
    <row r="63" spans="2:9" ht="17.25" customHeight="1">
      <c r="B63" s="5">
        <v>7</v>
      </c>
      <c r="C63" s="306">
        <v>30944</v>
      </c>
      <c r="D63" s="12" t="s">
        <v>429</v>
      </c>
      <c r="E63" s="5" t="s">
        <v>62</v>
      </c>
      <c r="F63" s="18">
        <v>8712118366</v>
      </c>
      <c r="G63" s="17">
        <v>45835</v>
      </c>
      <c r="H63" s="69"/>
      <c r="I63" s="123"/>
    </row>
    <row r="64" spans="2:9" ht="17.25" customHeight="1">
      <c r="B64" s="5">
        <v>8</v>
      </c>
      <c r="C64" s="306">
        <v>30945</v>
      </c>
      <c r="D64" s="12" t="s">
        <v>430</v>
      </c>
      <c r="E64" s="5" t="s">
        <v>62</v>
      </c>
      <c r="F64" s="18">
        <v>6304016136</v>
      </c>
      <c r="G64" s="17">
        <v>45835</v>
      </c>
      <c r="H64" s="69"/>
      <c r="I64" s="123"/>
    </row>
    <row r="65" spans="2:9" ht="17.25" customHeight="1">
      <c r="B65" s="5">
        <v>9</v>
      </c>
      <c r="C65" s="306">
        <v>30948</v>
      </c>
      <c r="D65" s="12" t="s">
        <v>431</v>
      </c>
      <c r="E65" s="5" t="s">
        <v>62</v>
      </c>
      <c r="F65" s="18">
        <v>8978224170</v>
      </c>
      <c r="G65" s="17">
        <v>45838</v>
      </c>
      <c r="H65" s="69"/>
      <c r="I65" s="123"/>
    </row>
    <row r="66" spans="2:9" ht="17.25" customHeight="1">
      <c r="B66" s="5">
        <v>10</v>
      </c>
      <c r="C66" s="306">
        <v>30950</v>
      </c>
      <c r="D66" s="12" t="s">
        <v>433</v>
      </c>
      <c r="E66" s="5" t="s">
        <v>62</v>
      </c>
      <c r="F66" s="18">
        <v>7780289853</v>
      </c>
      <c r="G66" s="17">
        <v>45838</v>
      </c>
      <c r="H66" s="69"/>
      <c r="I66" s="123"/>
    </row>
    <row r="67" spans="2:9" ht="17.25" customHeight="1">
      <c r="B67" s="5">
        <v>11</v>
      </c>
      <c r="C67" s="306">
        <v>30951</v>
      </c>
      <c r="D67" s="12" t="s">
        <v>434</v>
      </c>
      <c r="E67" s="5" t="s">
        <v>62</v>
      </c>
      <c r="F67" s="18">
        <v>9398268887</v>
      </c>
      <c r="G67" s="17">
        <v>45838</v>
      </c>
      <c r="H67" s="69"/>
      <c r="I67" s="123"/>
    </row>
    <row r="68" spans="2:9" ht="17.25" customHeight="1">
      <c r="B68" s="5">
        <v>12</v>
      </c>
      <c r="C68" s="306">
        <v>30952</v>
      </c>
      <c r="D68" s="12" t="s">
        <v>435</v>
      </c>
      <c r="E68" s="5" t="s">
        <v>62</v>
      </c>
      <c r="F68" s="18">
        <v>7893194879</v>
      </c>
      <c r="G68" s="17">
        <v>45838</v>
      </c>
      <c r="H68" s="69"/>
      <c r="I68" s="123"/>
    </row>
    <row r="69" spans="2:9" ht="17.25" customHeight="1">
      <c r="B69" s="5">
        <v>13</v>
      </c>
      <c r="C69" s="306">
        <v>30953</v>
      </c>
      <c r="D69" s="12" t="s">
        <v>436</v>
      </c>
      <c r="E69" s="5" t="s">
        <v>62</v>
      </c>
      <c r="F69" s="18">
        <v>8341347822</v>
      </c>
      <c r="G69" s="17">
        <v>45838</v>
      </c>
      <c r="H69" s="69"/>
      <c r="I69" s="123"/>
    </row>
    <row r="70" spans="2:9" ht="17.25" customHeight="1">
      <c r="B70" s="5">
        <v>14</v>
      </c>
      <c r="C70" s="306">
        <v>30955</v>
      </c>
      <c r="D70" s="14" t="s">
        <v>437</v>
      </c>
      <c r="E70" s="5" t="s">
        <v>62</v>
      </c>
      <c r="F70" s="5">
        <v>6281270604</v>
      </c>
      <c r="G70" s="13">
        <v>45840</v>
      </c>
      <c r="H70" s="101"/>
      <c r="I70" s="123"/>
    </row>
    <row r="71" spans="2:9" ht="17.25" customHeight="1">
      <c r="B71" s="5">
        <v>15</v>
      </c>
      <c r="C71" s="307">
        <v>30958</v>
      </c>
      <c r="D71" s="55" t="s">
        <v>438</v>
      </c>
      <c r="E71" s="5" t="s">
        <v>62</v>
      </c>
      <c r="F71" s="5">
        <v>8074663963</v>
      </c>
      <c r="G71" s="13">
        <v>45842</v>
      </c>
      <c r="H71" s="69"/>
      <c r="I71" s="123"/>
    </row>
    <row r="72" spans="2:9" ht="17.25" customHeight="1">
      <c r="B72" s="5">
        <v>16</v>
      </c>
      <c r="C72" s="306">
        <v>30960</v>
      </c>
      <c r="D72" s="14" t="s">
        <v>439</v>
      </c>
      <c r="E72" s="5" t="s">
        <v>62</v>
      </c>
      <c r="F72" s="5">
        <v>9381847839</v>
      </c>
      <c r="G72" s="13">
        <v>45842</v>
      </c>
      <c r="H72" s="101"/>
      <c r="I72" s="123"/>
    </row>
    <row r="73" spans="2:9" ht="17.25" customHeight="1">
      <c r="B73" s="5">
        <v>17</v>
      </c>
      <c r="C73" s="306">
        <v>30961</v>
      </c>
      <c r="D73" s="14" t="s">
        <v>440</v>
      </c>
      <c r="E73" s="5" t="s">
        <v>62</v>
      </c>
      <c r="F73" s="5">
        <v>6300368240</v>
      </c>
      <c r="G73" s="13">
        <v>45843</v>
      </c>
      <c r="H73" s="101"/>
      <c r="I73" s="123"/>
    </row>
    <row r="74" spans="2:9" ht="17.25" customHeight="1">
      <c r="B74" s="5">
        <v>18</v>
      </c>
      <c r="C74" s="306">
        <v>30962</v>
      </c>
      <c r="D74" s="14" t="s">
        <v>447</v>
      </c>
      <c r="E74" s="5" t="s">
        <v>62</v>
      </c>
      <c r="F74" s="5">
        <v>9392954135</v>
      </c>
      <c r="G74" s="13">
        <v>45845</v>
      </c>
      <c r="H74" s="69"/>
      <c r="I74" s="123"/>
    </row>
    <row r="75" spans="2:9" ht="17.25" customHeight="1">
      <c r="B75" s="5">
        <v>19</v>
      </c>
      <c r="C75" s="306">
        <v>30964</v>
      </c>
      <c r="D75" s="14" t="s">
        <v>448</v>
      </c>
      <c r="E75" s="5" t="s">
        <v>62</v>
      </c>
      <c r="F75" s="5">
        <v>9515172678</v>
      </c>
      <c r="G75" s="13" t="s">
        <v>449</v>
      </c>
      <c r="H75" s="69"/>
      <c r="I75" s="123"/>
    </row>
    <row r="76" spans="2:9" ht="17.25" customHeight="1">
      <c r="B76" s="5">
        <v>20</v>
      </c>
      <c r="C76" s="306">
        <v>30966</v>
      </c>
      <c r="D76" s="14" t="s">
        <v>450</v>
      </c>
      <c r="E76" s="5" t="s">
        <v>62</v>
      </c>
      <c r="F76" s="5">
        <v>9866896657</v>
      </c>
      <c r="G76" s="13" t="s">
        <v>451</v>
      </c>
      <c r="H76" s="101"/>
      <c r="I76" s="123"/>
    </row>
    <row r="77" spans="2:9" ht="17.25" customHeight="1">
      <c r="B77" s="5">
        <v>21</v>
      </c>
      <c r="C77" s="306">
        <v>30967</v>
      </c>
      <c r="D77" s="14" t="s">
        <v>452</v>
      </c>
      <c r="E77" s="5" t="s">
        <v>62</v>
      </c>
      <c r="F77" s="5">
        <v>7396362838</v>
      </c>
      <c r="G77" s="13" t="s">
        <v>451</v>
      </c>
      <c r="H77" s="101"/>
      <c r="I77" s="123"/>
    </row>
    <row r="78" spans="2:9" ht="17.25" customHeight="1">
      <c r="B78" s="5">
        <v>22</v>
      </c>
      <c r="C78" s="306">
        <v>30969</v>
      </c>
      <c r="D78" s="16" t="s">
        <v>453</v>
      </c>
      <c r="E78" s="5" t="s">
        <v>62</v>
      </c>
      <c r="F78" s="5">
        <v>8247017365</v>
      </c>
      <c r="G78" s="13" t="s">
        <v>454</v>
      </c>
      <c r="H78" s="101"/>
      <c r="I78" s="123"/>
    </row>
    <row r="79" spans="2:9" ht="17.25" customHeight="1">
      <c r="B79" s="5">
        <v>23</v>
      </c>
      <c r="C79" s="306">
        <v>30970</v>
      </c>
      <c r="D79" s="16" t="s">
        <v>455</v>
      </c>
      <c r="E79" s="5" t="s">
        <v>62</v>
      </c>
      <c r="F79" s="5">
        <v>8125869185</v>
      </c>
      <c r="G79" s="13" t="s">
        <v>454</v>
      </c>
      <c r="H79" s="101"/>
      <c r="I79" s="123"/>
    </row>
    <row r="80" spans="2:9" ht="17.25" customHeight="1">
      <c r="B80" s="5">
        <v>24</v>
      </c>
      <c r="C80" s="306">
        <v>30971</v>
      </c>
      <c r="D80" s="16" t="s">
        <v>456</v>
      </c>
      <c r="E80" s="5" t="s">
        <v>62</v>
      </c>
      <c r="F80" s="10">
        <v>9000393290</v>
      </c>
      <c r="G80" s="23">
        <v>45847</v>
      </c>
      <c r="H80" s="260"/>
      <c r="I80" s="123"/>
    </row>
    <row r="81" spans="2:9" ht="17.25" customHeight="1">
      <c r="B81" s="5">
        <v>25</v>
      </c>
      <c r="C81" s="306">
        <v>30981</v>
      </c>
      <c r="D81" s="16" t="s">
        <v>458</v>
      </c>
      <c r="E81" s="5" t="s">
        <v>62</v>
      </c>
      <c r="F81" s="5">
        <v>7382713002</v>
      </c>
      <c r="G81" s="13" t="s">
        <v>459</v>
      </c>
      <c r="H81" s="76"/>
      <c r="I81" s="123"/>
    </row>
    <row r="82" spans="2:9" ht="17.25" customHeight="1">
      <c r="B82" s="5">
        <v>26</v>
      </c>
      <c r="C82" s="306">
        <v>30989</v>
      </c>
      <c r="D82" s="261" t="s">
        <v>464</v>
      </c>
      <c r="E82" s="5" t="s">
        <v>62</v>
      </c>
      <c r="F82" s="18">
        <v>7995627385</v>
      </c>
      <c r="G82" s="17" t="s">
        <v>463</v>
      </c>
      <c r="H82" s="69"/>
      <c r="I82" s="123"/>
    </row>
    <row r="83" spans="2:9" ht="17.25" customHeight="1">
      <c r="B83" s="5">
        <v>27</v>
      </c>
      <c r="C83" s="306">
        <v>30997</v>
      </c>
      <c r="D83" s="261" t="s">
        <v>468</v>
      </c>
      <c r="E83" s="5" t="s">
        <v>62</v>
      </c>
      <c r="F83" s="18">
        <v>7013229574</v>
      </c>
      <c r="G83" s="17" t="s">
        <v>469</v>
      </c>
      <c r="H83" s="69"/>
      <c r="I83" s="123"/>
    </row>
    <row r="84" spans="2:9" ht="17.25" customHeight="1">
      <c r="B84" s="5">
        <v>28</v>
      </c>
      <c r="C84" s="308">
        <v>30999</v>
      </c>
      <c r="D84" s="284" t="s">
        <v>518</v>
      </c>
      <c r="E84" s="5" t="s">
        <v>62</v>
      </c>
      <c r="F84" s="18">
        <v>9121426349</v>
      </c>
      <c r="G84" s="17"/>
      <c r="H84" s="69"/>
      <c r="I84" s="123"/>
    </row>
    <row r="85" spans="2:9" ht="17.25" customHeight="1">
      <c r="B85" s="5">
        <v>29</v>
      </c>
      <c r="C85" s="308">
        <v>31001</v>
      </c>
      <c r="D85" s="284" t="s">
        <v>519</v>
      </c>
      <c r="E85" s="5" t="s">
        <v>62</v>
      </c>
      <c r="F85" s="18">
        <v>9100572462</v>
      </c>
      <c r="G85" s="17"/>
      <c r="H85" s="69"/>
      <c r="I85" s="123"/>
    </row>
    <row r="86" spans="2:9" ht="17.25" customHeight="1">
      <c r="B86" s="5">
        <v>30</v>
      </c>
      <c r="C86" s="306">
        <v>31006</v>
      </c>
      <c r="D86" s="261" t="s">
        <v>513</v>
      </c>
      <c r="E86" s="5" t="s">
        <v>62</v>
      </c>
      <c r="F86" s="18">
        <v>8125924512</v>
      </c>
      <c r="G86" s="96">
        <v>45864</v>
      </c>
      <c r="H86" s="69"/>
      <c r="I86" s="123"/>
    </row>
    <row r="87" spans="2:9" ht="17.25" customHeight="1">
      <c r="B87" s="5">
        <v>31</v>
      </c>
      <c r="C87" s="306">
        <v>31007</v>
      </c>
      <c r="D87" s="261" t="s">
        <v>516</v>
      </c>
      <c r="E87" s="5" t="s">
        <v>62</v>
      </c>
      <c r="F87" s="18">
        <v>8074825238</v>
      </c>
      <c r="G87" s="96">
        <v>45864</v>
      </c>
      <c r="H87" s="69"/>
      <c r="I87" s="123"/>
    </row>
    <row r="88" spans="2:9" ht="17.25" customHeight="1">
      <c r="B88" s="5">
        <v>32</v>
      </c>
      <c r="C88" s="306">
        <v>31008</v>
      </c>
      <c r="D88" s="261" t="s">
        <v>510</v>
      </c>
      <c r="E88" s="5" t="s">
        <v>62</v>
      </c>
      <c r="F88" s="18">
        <v>7416250259</v>
      </c>
      <c r="G88" s="96">
        <v>45864</v>
      </c>
      <c r="H88" s="69"/>
      <c r="I88" s="123"/>
    </row>
    <row r="89" spans="2:9" ht="17.25" customHeight="1">
      <c r="B89" s="5">
        <v>33</v>
      </c>
      <c r="C89" s="306">
        <v>31009</v>
      </c>
      <c r="D89" s="261" t="s">
        <v>511</v>
      </c>
      <c r="E89" s="5" t="s">
        <v>62</v>
      </c>
      <c r="F89" s="18">
        <v>9652560279</v>
      </c>
      <c r="G89" s="96">
        <v>45864</v>
      </c>
      <c r="H89" s="69"/>
      <c r="I89" s="123"/>
    </row>
    <row r="90" spans="2:9" ht="17.25" customHeight="1">
      <c r="B90" s="5">
        <v>34</v>
      </c>
      <c r="C90" s="306">
        <v>31010</v>
      </c>
      <c r="D90" s="261" t="s">
        <v>515</v>
      </c>
      <c r="E90" s="5" t="s">
        <v>62</v>
      </c>
      <c r="F90" s="18">
        <v>6303868693</v>
      </c>
      <c r="G90" s="96">
        <v>45866</v>
      </c>
      <c r="H90" s="69"/>
      <c r="I90" s="123"/>
    </row>
    <row r="91" spans="2:9" ht="17.25" customHeight="1">
      <c r="B91" s="5">
        <v>35</v>
      </c>
      <c r="C91" s="309">
        <v>31011</v>
      </c>
      <c r="D91" s="69" t="s">
        <v>514</v>
      </c>
      <c r="E91" s="5" t="s">
        <v>62</v>
      </c>
      <c r="F91" s="18">
        <v>7901533265</v>
      </c>
      <c r="G91" s="96">
        <v>45866</v>
      </c>
      <c r="H91" s="283"/>
      <c r="I91" s="123"/>
    </row>
    <row r="92" spans="2:9" ht="17.25" customHeight="1">
      <c r="B92" s="5">
        <v>36</v>
      </c>
      <c r="C92" s="306">
        <v>31014</v>
      </c>
      <c r="D92" s="261" t="s">
        <v>509</v>
      </c>
      <c r="E92" s="5" t="s">
        <v>62</v>
      </c>
      <c r="F92" s="18">
        <v>7601073553</v>
      </c>
      <c r="G92" s="17"/>
      <c r="H92" s="69"/>
      <c r="I92" s="123"/>
    </row>
    <row r="93" spans="2:9" ht="17.25" customHeight="1">
      <c r="B93" s="5">
        <v>37</v>
      </c>
      <c r="C93" s="306">
        <v>31016</v>
      </c>
      <c r="D93" s="261" t="s">
        <v>508</v>
      </c>
      <c r="E93" s="5" t="s">
        <v>62</v>
      </c>
      <c r="F93" s="18">
        <v>9125941185</v>
      </c>
      <c r="G93" s="96">
        <v>45867</v>
      </c>
      <c r="H93" s="69"/>
      <c r="I93" s="123"/>
    </row>
    <row r="94" spans="2:9" ht="17.25" customHeight="1">
      <c r="B94" s="5">
        <v>38</v>
      </c>
      <c r="C94" s="306">
        <v>31017</v>
      </c>
      <c r="D94" s="12" t="s">
        <v>527</v>
      </c>
      <c r="E94" s="5" t="s">
        <v>62</v>
      </c>
      <c r="F94" s="18">
        <v>8179537456</v>
      </c>
      <c r="G94" s="17"/>
      <c r="H94" s="69"/>
      <c r="I94" s="123"/>
    </row>
    <row r="95" spans="2:9" ht="17.25" customHeight="1">
      <c r="B95" s="5">
        <v>39</v>
      </c>
      <c r="C95" s="306">
        <v>31018</v>
      </c>
      <c r="D95" s="312" t="s">
        <v>517</v>
      </c>
      <c r="E95" s="5" t="s">
        <v>62</v>
      </c>
      <c r="F95" s="123">
        <v>8309517227</v>
      </c>
      <c r="G95" s="96">
        <v>45869</v>
      </c>
      <c r="H95" s="69"/>
      <c r="I95" s="123"/>
    </row>
    <row r="96" spans="2:9" ht="17.25" customHeight="1">
      <c r="B96" s="5">
        <v>40</v>
      </c>
      <c r="C96" s="310">
        <v>31045</v>
      </c>
      <c r="D96" s="262" t="s">
        <v>492</v>
      </c>
      <c r="E96" s="5" t="s">
        <v>62</v>
      </c>
      <c r="F96" s="18">
        <v>7674094619</v>
      </c>
      <c r="G96" s="17"/>
      <c r="H96" s="69"/>
      <c r="I96" s="123"/>
    </row>
    <row r="97" spans="2:9" ht="17.25" customHeight="1">
      <c r="B97" s="5">
        <v>41</v>
      </c>
      <c r="C97" s="311">
        <v>31052</v>
      </c>
      <c r="D97" s="312" t="s">
        <v>523</v>
      </c>
      <c r="E97" s="5" t="s">
        <v>62</v>
      </c>
      <c r="F97" s="18">
        <v>9346781019</v>
      </c>
      <c r="G97" s="17"/>
      <c r="H97" s="69"/>
      <c r="I97" s="123"/>
    </row>
    <row r="98" spans="2:9" ht="17.25" customHeight="1">
      <c r="B98" s="5">
        <v>42</v>
      </c>
      <c r="C98" s="306">
        <v>31055</v>
      </c>
      <c r="D98" s="262" t="s">
        <v>521</v>
      </c>
      <c r="E98" s="5" t="s">
        <v>62</v>
      </c>
      <c r="F98" s="18">
        <v>9505237020</v>
      </c>
      <c r="G98" s="17"/>
      <c r="H98" s="69"/>
      <c r="I98" s="123"/>
    </row>
    <row r="99" spans="2:9" ht="17.25" customHeight="1">
      <c r="B99" s="5">
        <v>43</v>
      </c>
      <c r="C99" s="306">
        <v>31056</v>
      </c>
      <c r="D99" s="261" t="s">
        <v>524</v>
      </c>
      <c r="E99" s="5" t="s">
        <v>62</v>
      </c>
      <c r="F99" s="18">
        <v>9390166821</v>
      </c>
      <c r="G99" s="17">
        <v>45880</v>
      </c>
      <c r="H99" s="69"/>
      <c r="I99" s="123"/>
    </row>
    <row r="100" spans="2:9" ht="17.25" customHeight="1">
      <c r="B100" s="5">
        <v>44</v>
      </c>
      <c r="C100" s="306">
        <v>31058</v>
      </c>
      <c r="D100" s="365" t="s">
        <v>528</v>
      </c>
      <c r="E100" s="5" t="s">
        <v>62</v>
      </c>
      <c r="F100" s="18">
        <v>9550763660</v>
      </c>
      <c r="G100" s="69"/>
      <c r="H100" s="69"/>
      <c r="I100" s="123"/>
    </row>
    <row r="101" spans="2:9" ht="17.25" customHeight="1">
      <c r="B101" s="5">
        <v>45</v>
      </c>
      <c r="C101" s="364">
        <v>31070</v>
      </c>
      <c r="D101" s="365" t="s">
        <v>548</v>
      </c>
      <c r="E101" s="5" t="s">
        <v>62</v>
      </c>
      <c r="F101" s="18">
        <v>9030272655</v>
      </c>
      <c r="G101" s="69"/>
      <c r="H101" s="69"/>
      <c r="I101" s="123"/>
    </row>
    <row r="102" spans="2:9" ht="17.25" customHeight="1">
      <c r="B102" s="5">
        <v>46</v>
      </c>
      <c r="C102" s="306">
        <v>31071</v>
      </c>
      <c r="D102" s="365" t="s">
        <v>549</v>
      </c>
      <c r="E102" s="5" t="s">
        <v>62</v>
      </c>
      <c r="F102" s="18">
        <v>8019998514</v>
      </c>
      <c r="G102" s="69"/>
      <c r="H102" s="69"/>
      <c r="I102" s="123"/>
    </row>
    <row r="103" spans="2:9" ht="17.25" customHeight="1">
      <c r="B103" s="5">
        <v>47</v>
      </c>
      <c r="C103" s="306">
        <v>31078</v>
      </c>
      <c r="D103" s="365" t="s">
        <v>550</v>
      </c>
      <c r="E103" s="5" t="s">
        <v>62</v>
      </c>
      <c r="F103" s="18">
        <v>6302491536</v>
      </c>
      <c r="G103" s="18"/>
      <c r="H103" s="69"/>
      <c r="I103" s="123"/>
    </row>
    <row r="104" spans="2:9" ht="17.25" customHeight="1">
      <c r="B104" s="5">
        <v>48</v>
      </c>
      <c r="C104" s="364">
        <v>31082</v>
      </c>
      <c r="D104" s="365" t="s">
        <v>547</v>
      </c>
      <c r="E104" s="5" t="s">
        <v>62</v>
      </c>
      <c r="F104" s="18">
        <v>9848498113</v>
      </c>
      <c r="G104" s="18"/>
      <c r="H104" s="69"/>
      <c r="I104" s="123"/>
    </row>
    <row r="105" spans="2:9" ht="17.25" customHeight="1">
      <c r="B105" s="5">
        <v>49</v>
      </c>
      <c r="C105" s="306">
        <v>31083</v>
      </c>
      <c r="D105" s="365" t="s">
        <v>546</v>
      </c>
      <c r="E105" s="5" t="s">
        <v>62</v>
      </c>
      <c r="F105" s="18">
        <v>8074365175</v>
      </c>
      <c r="G105" s="18" t="s">
        <v>545</v>
      </c>
      <c r="H105" s="69"/>
      <c r="I105" s="123"/>
    </row>
    <row r="106" spans="2:9" ht="17.25" customHeight="1">
      <c r="B106" s="5">
        <v>50</v>
      </c>
      <c r="C106" s="53">
        <v>31092</v>
      </c>
      <c r="D106" s="263" t="s">
        <v>553</v>
      </c>
      <c r="E106" s="5" t="s">
        <v>62</v>
      </c>
      <c r="F106" s="18">
        <v>6305864234</v>
      </c>
      <c r="G106" s="17">
        <v>45898</v>
      </c>
      <c r="H106" s="69"/>
      <c r="I106" s="123"/>
    </row>
    <row r="107" spans="2:9" ht="17.25" customHeight="1">
      <c r="B107" s="5">
        <v>51</v>
      </c>
      <c r="C107" s="306">
        <v>31097</v>
      </c>
      <c r="D107" s="368" t="s">
        <v>552</v>
      </c>
      <c r="E107" s="5" t="s">
        <v>62</v>
      </c>
      <c r="F107" s="18">
        <v>6303002424</v>
      </c>
      <c r="G107" s="17">
        <v>45901</v>
      </c>
      <c r="H107" s="69"/>
      <c r="I107" s="123"/>
    </row>
    <row r="108" spans="2:9" ht="18" customHeight="1">
      <c r="B108" s="24"/>
      <c r="C108" s="366"/>
      <c r="D108" s="369"/>
      <c r="E108" s="24"/>
      <c r="F108" s="26"/>
      <c r="G108" s="27"/>
    </row>
    <row r="109" spans="2:9" ht="18" customHeight="1">
      <c r="B109" s="24"/>
      <c r="C109" s="366"/>
      <c r="D109" s="369"/>
      <c r="E109" s="24"/>
      <c r="F109" s="26"/>
      <c r="G109" s="27"/>
    </row>
    <row r="110" spans="2:9" ht="18" customHeight="1">
      <c r="B110" s="24"/>
      <c r="C110" s="366"/>
      <c r="D110" s="369"/>
      <c r="E110" s="24"/>
      <c r="F110" s="26"/>
      <c r="G110" s="27"/>
    </row>
    <row r="111" spans="2:9" ht="18" customHeight="1">
      <c r="B111" s="24"/>
      <c r="C111" s="366"/>
      <c r="D111" s="369"/>
      <c r="E111" s="24"/>
      <c r="F111" s="26"/>
      <c r="G111" s="27"/>
    </row>
    <row r="112" spans="2:9" ht="18" customHeight="1">
      <c r="B112" s="24"/>
      <c r="C112" s="366"/>
      <c r="D112" s="367"/>
      <c r="E112" s="24"/>
      <c r="F112" s="26"/>
      <c r="G112" s="26"/>
    </row>
    <row r="114" spans="2:7" ht="20.100000000000001" customHeight="1">
      <c r="B114" s="39" t="s">
        <v>323</v>
      </c>
      <c r="C114" s="40"/>
      <c r="D114" s="39"/>
      <c r="E114" s="40"/>
      <c r="F114" s="40"/>
      <c r="G114" s="26"/>
    </row>
    <row r="115" spans="2:7" ht="20.100000000000001" customHeight="1">
      <c r="B115" s="247">
        <v>1</v>
      </c>
      <c r="C115" s="248">
        <v>2646</v>
      </c>
      <c r="D115" s="249" t="s">
        <v>245</v>
      </c>
      <c r="E115" s="248" t="s">
        <v>267</v>
      </c>
      <c r="F115" s="247">
        <v>6300035358</v>
      </c>
      <c r="G115" s="250">
        <v>45253</v>
      </c>
    </row>
    <row r="116" spans="2:7" ht="20.100000000000001" customHeight="1">
      <c r="B116" s="247">
        <v>2</v>
      </c>
      <c r="C116" s="248">
        <v>2686</v>
      </c>
      <c r="D116" s="249" t="s">
        <v>268</v>
      </c>
      <c r="E116" s="248" t="s">
        <v>267</v>
      </c>
      <c r="F116" s="247">
        <v>8247346900</v>
      </c>
      <c r="G116" s="250">
        <v>45282</v>
      </c>
    </row>
    <row r="117" spans="2:7" ht="20.100000000000001" customHeight="1">
      <c r="B117" s="247">
        <v>3</v>
      </c>
      <c r="C117" s="248">
        <v>2852</v>
      </c>
      <c r="D117" s="249" t="s">
        <v>205</v>
      </c>
      <c r="E117" s="248" t="s">
        <v>147</v>
      </c>
      <c r="F117" s="247">
        <v>7981683088</v>
      </c>
      <c r="G117" s="250">
        <v>45513</v>
      </c>
    </row>
    <row r="118" spans="2:7" ht="20.100000000000001" customHeight="1">
      <c r="B118" s="247">
        <v>4</v>
      </c>
      <c r="C118" s="248">
        <v>2862</v>
      </c>
      <c r="D118" s="249" t="s">
        <v>206</v>
      </c>
      <c r="E118" s="248" t="s">
        <v>147</v>
      </c>
      <c r="F118" s="247">
        <v>9966109473</v>
      </c>
      <c r="G118" s="251" t="s">
        <v>410</v>
      </c>
    </row>
    <row r="119" spans="2:7" ht="20.100000000000001" customHeight="1">
      <c r="B119" s="247">
        <v>5</v>
      </c>
      <c r="C119" s="248">
        <v>2932</v>
      </c>
      <c r="D119" s="249" t="s">
        <v>207</v>
      </c>
      <c r="E119" s="248" t="s">
        <v>147</v>
      </c>
      <c r="F119" s="247">
        <v>7672052900</v>
      </c>
      <c r="G119" s="250">
        <v>45597</v>
      </c>
    </row>
    <row r="120" spans="2:7" ht="20.100000000000001" customHeight="1">
      <c r="B120" s="247">
        <v>6</v>
      </c>
      <c r="C120" s="248">
        <v>2935</v>
      </c>
      <c r="D120" s="249" t="s">
        <v>208</v>
      </c>
      <c r="E120" s="248" t="s">
        <v>147</v>
      </c>
      <c r="F120" s="247">
        <v>9948686959</v>
      </c>
      <c r="G120" s="250">
        <v>45600</v>
      </c>
    </row>
    <row r="121" spans="2:7" ht="20.100000000000001" customHeight="1">
      <c r="B121" s="247">
        <v>7</v>
      </c>
      <c r="C121" s="248">
        <v>2940</v>
      </c>
      <c r="D121" s="249" t="s">
        <v>209</v>
      </c>
      <c r="E121" s="248" t="s">
        <v>147</v>
      </c>
      <c r="F121" s="247">
        <v>7799595004</v>
      </c>
      <c r="G121" s="250">
        <v>45610</v>
      </c>
    </row>
    <row r="122" spans="2:7" ht="20.100000000000001" customHeight="1">
      <c r="B122" s="247">
        <v>8</v>
      </c>
      <c r="C122" s="248">
        <v>2952</v>
      </c>
      <c r="D122" s="252" t="s">
        <v>210</v>
      </c>
      <c r="E122" s="248" t="s">
        <v>147</v>
      </c>
      <c r="F122" s="247">
        <v>6302946907</v>
      </c>
      <c r="G122" s="251" t="s">
        <v>411</v>
      </c>
    </row>
    <row r="123" spans="2:7" ht="20.100000000000001" customHeight="1">
      <c r="B123" s="247">
        <v>9</v>
      </c>
      <c r="C123" s="248">
        <v>3023</v>
      </c>
      <c r="D123" s="252" t="s">
        <v>211</v>
      </c>
      <c r="E123" s="248" t="s">
        <v>147</v>
      </c>
      <c r="F123" s="247">
        <v>9182194446</v>
      </c>
      <c r="G123" s="253">
        <v>45726</v>
      </c>
    </row>
    <row r="124" spans="2:7" ht="20.100000000000001" customHeight="1">
      <c r="B124" s="247">
        <v>10</v>
      </c>
      <c r="C124" s="247">
        <v>3032</v>
      </c>
      <c r="D124" s="252" t="s">
        <v>470</v>
      </c>
      <c r="E124" s="248" t="s">
        <v>147</v>
      </c>
      <c r="F124" s="251">
        <v>8341287184</v>
      </c>
      <c r="G124" s="251" t="s">
        <v>412</v>
      </c>
    </row>
    <row r="125" spans="2:7" ht="20.100000000000001" customHeight="1">
      <c r="B125" s="247">
        <v>11</v>
      </c>
      <c r="C125" s="247">
        <v>3033</v>
      </c>
      <c r="D125" s="252" t="s">
        <v>471</v>
      </c>
      <c r="E125" s="248" t="s">
        <v>147</v>
      </c>
      <c r="F125" s="251">
        <v>9569464941</v>
      </c>
      <c r="G125" s="251" t="s">
        <v>413</v>
      </c>
    </row>
    <row r="126" spans="2:7" ht="20.100000000000001" customHeight="1">
      <c r="B126" s="247">
        <v>12</v>
      </c>
      <c r="C126" s="247">
        <v>3128</v>
      </c>
      <c r="D126" s="252" t="s">
        <v>472</v>
      </c>
      <c r="E126" s="248" t="s">
        <v>147</v>
      </c>
      <c r="F126" s="251">
        <v>9492426713</v>
      </c>
      <c r="G126" s="251" t="s">
        <v>473</v>
      </c>
    </row>
    <row r="127" spans="2:7" ht="20.100000000000001" customHeight="1">
      <c r="B127" s="56">
        <v>13</v>
      </c>
      <c r="C127" s="53">
        <v>3133</v>
      </c>
      <c r="D127" s="263" t="s">
        <v>474</v>
      </c>
      <c r="E127" s="248" t="s">
        <v>147</v>
      </c>
      <c r="F127" s="56">
        <v>7013885810</v>
      </c>
      <c r="G127" s="250">
        <v>45853</v>
      </c>
    </row>
    <row r="129" spans="2:7" ht="20.100000000000001" customHeight="1">
      <c r="B129" s="256"/>
      <c r="C129" s="65"/>
      <c r="D129" s="256"/>
      <c r="E129" s="256"/>
      <c r="F129" s="256"/>
      <c r="G129" s="254"/>
    </row>
    <row r="130" spans="2:7" ht="20.100000000000001" customHeight="1">
      <c r="B130" s="529"/>
      <c r="C130" s="529"/>
      <c r="D130" s="529"/>
      <c r="E130" s="529"/>
      <c r="F130" s="529"/>
      <c r="G130" s="254"/>
    </row>
    <row r="131" spans="2:7" ht="20.100000000000001" customHeight="1">
      <c r="B131" s="53">
        <v>1</v>
      </c>
      <c r="C131" s="53">
        <v>629</v>
      </c>
      <c r="D131" s="54" t="s">
        <v>248</v>
      </c>
      <c r="E131" s="53" t="s">
        <v>270</v>
      </c>
      <c r="F131" s="53">
        <v>9502200265</v>
      </c>
      <c r="G131" s="254"/>
    </row>
    <row r="132" spans="2:7" ht="20.100000000000001" customHeight="1">
      <c r="B132" s="53">
        <v>2</v>
      </c>
      <c r="C132" s="53">
        <v>3178</v>
      </c>
      <c r="D132" s="54" t="s">
        <v>529</v>
      </c>
      <c r="E132" s="53" t="s">
        <v>530</v>
      </c>
      <c r="F132" s="53" t="s">
        <v>531</v>
      </c>
      <c r="G132" s="254"/>
    </row>
    <row r="133" spans="2:7" ht="20.100000000000001" customHeight="1">
      <c r="B133" s="53">
        <v>3</v>
      </c>
      <c r="C133" s="53">
        <v>2613</v>
      </c>
      <c r="D133" s="54" t="s">
        <v>272</v>
      </c>
      <c r="E133" s="56" t="s">
        <v>251</v>
      </c>
      <c r="F133" s="53">
        <v>9573912337</v>
      </c>
      <c r="G133" s="26"/>
    </row>
    <row r="134" spans="2:7" ht="20.100000000000001" customHeight="1">
      <c r="B134" s="53">
        <v>4</v>
      </c>
      <c r="C134" s="53">
        <v>2700</v>
      </c>
      <c r="D134" s="54" t="s">
        <v>273</v>
      </c>
      <c r="E134" s="53" t="s">
        <v>251</v>
      </c>
      <c r="F134" s="53">
        <v>7416390127</v>
      </c>
      <c r="G134" s="26"/>
    </row>
    <row r="135" spans="2:7" ht="20.100000000000001" customHeight="1">
      <c r="B135" s="53">
        <v>5</v>
      </c>
      <c r="C135" s="53">
        <v>2996</v>
      </c>
      <c r="D135" s="54" t="s">
        <v>346</v>
      </c>
      <c r="E135" s="53" t="s">
        <v>251</v>
      </c>
      <c r="F135" s="53">
        <v>8142888477</v>
      </c>
      <c r="G135" s="26"/>
    </row>
    <row r="136" spans="2:7" ht="20.100000000000001" customHeight="1">
      <c r="B136" s="25"/>
      <c r="C136" s="24"/>
      <c r="D136" s="25"/>
      <c r="E136" s="26"/>
      <c r="F136" s="26"/>
      <c r="G136" s="26"/>
    </row>
    <row r="137" spans="2:7" ht="20.100000000000001" customHeight="1">
      <c r="B137" s="25"/>
      <c r="C137" s="24"/>
      <c r="F137" s="26"/>
      <c r="G137" s="26"/>
    </row>
    <row r="138" spans="2:7" ht="20.100000000000001" customHeight="1">
      <c r="B138" s="25"/>
      <c r="C138" s="24"/>
      <c r="F138" s="26"/>
      <c r="G138" s="26"/>
    </row>
    <row r="139" spans="2:7" ht="20.100000000000001" customHeight="1">
      <c r="B139" s="25"/>
      <c r="C139" s="24"/>
      <c r="F139" s="26"/>
      <c r="G139" s="1"/>
    </row>
    <row r="140" spans="2:7" ht="20.100000000000001" customHeight="1">
      <c r="B140" s="25"/>
      <c r="C140" s="24"/>
      <c r="F140" s="26"/>
      <c r="G140" s="26"/>
    </row>
    <row r="141" spans="2:7" ht="20.100000000000001" customHeight="1">
      <c r="B141" s="25"/>
      <c r="C141" s="24"/>
      <c r="F141" s="26"/>
      <c r="G141" s="26"/>
    </row>
    <row r="142" spans="2:7" ht="20.100000000000001" customHeight="1">
      <c r="B142" s="25"/>
      <c r="C142" s="24"/>
      <c r="F142" s="26"/>
      <c r="G142" s="26"/>
    </row>
    <row r="143" spans="2:7" ht="20.100000000000001" customHeight="1">
      <c r="B143" s="25"/>
      <c r="C143" s="24"/>
      <c r="F143" s="26"/>
      <c r="G143" s="26"/>
    </row>
    <row r="144" spans="2:7" ht="20.100000000000001" customHeight="1">
      <c r="B144" s="25"/>
      <c r="C144" s="24"/>
      <c r="F144" s="26"/>
      <c r="G144" s="26"/>
    </row>
    <row r="145" spans="2:7" ht="20.100000000000001" customHeight="1">
      <c r="B145" s="25"/>
      <c r="C145" s="24"/>
      <c r="F145" s="26"/>
      <c r="G145" s="26"/>
    </row>
    <row r="146" spans="2:7" ht="20.100000000000001" customHeight="1">
      <c r="C146" s="170"/>
      <c r="E146" s="1"/>
      <c r="G146" s="1"/>
    </row>
  </sheetData>
  <mergeCells count="7">
    <mergeCell ref="B130:F130"/>
    <mergeCell ref="B54:H54"/>
    <mergeCell ref="B1:I1"/>
    <mergeCell ref="B2:I2"/>
    <mergeCell ref="B3:I3"/>
    <mergeCell ref="I54:I55"/>
    <mergeCell ref="B55:F55"/>
  </mergeCells>
  <conditionalFormatting sqref="C20:C21">
    <cfRule type="duplicateValues" dxfId="13" priority="1"/>
  </conditionalFormatting>
  <conditionalFormatting sqref="C28:C29">
    <cfRule type="duplicateValues" dxfId="12" priority="2"/>
  </conditionalFormatting>
  <pageMargins left="0.39370078740157483" right="0.39370078740157483" top="0.19685039370078741" bottom="0.19685039370078741" header="0.31496062992125984" footer="0.31496062992125984"/>
  <pageSetup paperSize="9" scale="85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43"/>
  <sheetViews>
    <sheetView topLeftCell="A91" workbookViewId="0">
      <selection activeCell="D95" sqref="D95"/>
    </sheetView>
  </sheetViews>
  <sheetFormatPr defaultRowHeight="14.4"/>
  <cols>
    <col min="1" max="1" width="2" customWidth="1"/>
    <col min="2" max="2" width="5" customWidth="1"/>
    <col min="3" max="3" width="9.44140625" style="106" customWidth="1"/>
    <col min="4" max="4" width="34.44140625" bestFit="1" customWidth="1"/>
    <col min="5" max="5" width="27.5546875" bestFit="1" customWidth="1"/>
    <col min="6" max="6" width="13.88671875" style="1" customWidth="1"/>
    <col min="7" max="7" width="12.44140625" bestFit="1" customWidth="1"/>
    <col min="8" max="8" width="11.6640625" bestFit="1" customWidth="1"/>
    <col min="9" max="9" width="15.109375" style="1" customWidth="1"/>
  </cols>
  <sheetData>
    <row r="1" spans="2:9" ht="16.5" customHeight="1">
      <c r="B1" s="558" t="s">
        <v>47</v>
      </c>
      <c r="C1" s="558"/>
      <c r="D1" s="558"/>
      <c r="E1" s="558"/>
      <c r="F1" s="558"/>
      <c r="G1" s="558"/>
      <c r="H1" s="558"/>
      <c r="I1" s="558"/>
    </row>
    <row r="2" spans="2:9" ht="15" customHeight="1">
      <c r="B2" s="558" t="s">
        <v>274</v>
      </c>
      <c r="C2" s="558"/>
      <c r="D2" s="558"/>
      <c r="E2" s="558"/>
      <c r="F2" s="558"/>
      <c r="G2" s="558"/>
      <c r="H2" s="558"/>
      <c r="I2" s="558"/>
    </row>
    <row r="3" spans="2:9" ht="20.100000000000001" customHeight="1">
      <c r="B3" s="522" t="s">
        <v>418</v>
      </c>
      <c r="C3" s="522"/>
      <c r="D3" s="522"/>
      <c r="E3" s="522"/>
      <c r="F3" s="522"/>
      <c r="G3" s="522"/>
      <c r="H3" s="522"/>
      <c r="I3" s="522"/>
    </row>
    <row r="4" spans="2:9" ht="9" customHeight="1">
      <c r="B4" s="257"/>
      <c r="C4" s="257"/>
      <c r="D4" s="257"/>
      <c r="E4" s="257"/>
      <c r="F4" s="257"/>
      <c r="G4" s="276"/>
      <c r="H4" s="258"/>
    </row>
    <row r="5" spans="2:9" ht="20.100000000000001" customHeight="1">
      <c r="B5" s="2" t="s">
        <v>1</v>
      </c>
      <c r="C5" s="2" t="s">
        <v>216</v>
      </c>
      <c r="D5" s="2" t="s">
        <v>3</v>
      </c>
      <c r="E5" s="2" t="s">
        <v>4</v>
      </c>
      <c r="F5" s="2" t="s">
        <v>8</v>
      </c>
      <c r="G5" s="3" t="s">
        <v>394</v>
      </c>
      <c r="H5" s="4" t="s">
        <v>551</v>
      </c>
      <c r="I5" s="123"/>
    </row>
    <row r="6" spans="2:9" ht="19.5" customHeight="1">
      <c r="B6" s="5">
        <v>1</v>
      </c>
      <c r="C6" s="5">
        <v>1251</v>
      </c>
      <c r="D6" s="6" t="s">
        <v>9</v>
      </c>
      <c r="E6" s="7" t="s">
        <v>522</v>
      </c>
      <c r="F6" s="7">
        <v>9840850744</v>
      </c>
      <c r="G6" s="8">
        <v>42387</v>
      </c>
      <c r="H6" s="89">
        <f t="shared" ref="H6:H25" ca="1" si="0">DATEDIF(G6,TODAY(),"y")</f>
        <v>10</v>
      </c>
      <c r="I6" s="123"/>
    </row>
    <row r="7" spans="2:9" ht="19.5" customHeight="1">
      <c r="B7" s="5">
        <v>2</v>
      </c>
      <c r="C7" s="5">
        <v>308</v>
      </c>
      <c r="D7" s="6" t="s">
        <v>299</v>
      </c>
      <c r="E7" s="7" t="s">
        <v>19</v>
      </c>
      <c r="F7" s="7">
        <v>9908823834</v>
      </c>
      <c r="G7" s="8">
        <v>39259</v>
      </c>
      <c r="H7" s="89">
        <f t="shared" ca="1" si="0"/>
        <v>18</v>
      </c>
      <c r="I7" s="123"/>
    </row>
    <row r="8" spans="2:9" ht="19.5" customHeight="1">
      <c r="B8" s="5">
        <v>3</v>
      </c>
      <c r="C8" s="5">
        <v>1182</v>
      </c>
      <c r="D8" s="9" t="s">
        <v>26</v>
      </c>
      <c r="E8" s="10" t="s">
        <v>396</v>
      </c>
      <c r="F8" s="7">
        <v>9676354404</v>
      </c>
      <c r="G8" s="11">
        <v>42193</v>
      </c>
      <c r="H8" s="89">
        <f t="shared" ca="1" si="0"/>
        <v>10</v>
      </c>
      <c r="I8" s="123"/>
    </row>
    <row r="9" spans="2:9" ht="19.5" customHeight="1">
      <c r="B9" s="5">
        <v>4</v>
      </c>
      <c r="C9" s="5">
        <v>523</v>
      </c>
      <c r="D9" s="12" t="s">
        <v>382</v>
      </c>
      <c r="E9" s="10" t="s">
        <v>180</v>
      </c>
      <c r="F9" s="5">
        <v>9441536410</v>
      </c>
      <c r="G9" s="13">
        <v>45694</v>
      </c>
      <c r="H9" s="89">
        <f t="shared" ca="1" si="0"/>
        <v>1</v>
      </c>
      <c r="I9" s="123"/>
    </row>
    <row r="10" spans="2:9" ht="19.5" customHeight="1">
      <c r="B10" s="5">
        <v>5</v>
      </c>
      <c r="C10" s="5">
        <v>2827</v>
      </c>
      <c r="D10" s="14" t="s">
        <v>279</v>
      </c>
      <c r="E10" s="10" t="s">
        <v>180</v>
      </c>
      <c r="F10" s="7">
        <v>8085575111</v>
      </c>
      <c r="G10" s="13">
        <v>45495</v>
      </c>
      <c r="H10" s="89">
        <f t="shared" ca="1" si="0"/>
        <v>1</v>
      </c>
      <c r="I10" s="123"/>
    </row>
    <row r="11" spans="2:9" ht="19.5" customHeight="1">
      <c r="B11" s="5">
        <v>6</v>
      </c>
      <c r="C11" s="5">
        <v>312</v>
      </c>
      <c r="D11" s="6" t="s">
        <v>42</v>
      </c>
      <c r="E11" s="15" t="s">
        <v>180</v>
      </c>
      <c r="F11" s="7">
        <v>8297208489</v>
      </c>
      <c r="G11" s="11">
        <v>40206</v>
      </c>
      <c r="H11" s="89">
        <f t="shared" ca="1" si="0"/>
        <v>16</v>
      </c>
      <c r="I11" s="123"/>
    </row>
    <row r="12" spans="2:9" ht="19.5" customHeight="1">
      <c r="B12" s="5">
        <v>7</v>
      </c>
      <c r="C12" s="5">
        <v>2090</v>
      </c>
      <c r="D12" s="16" t="s">
        <v>33</v>
      </c>
      <c r="E12" s="10" t="s">
        <v>180</v>
      </c>
      <c r="F12" s="7">
        <v>9441540580</v>
      </c>
      <c r="G12" s="11">
        <v>44107</v>
      </c>
      <c r="H12" s="89">
        <f t="shared" ca="1" si="0"/>
        <v>5</v>
      </c>
      <c r="I12" s="123"/>
    </row>
    <row r="13" spans="2:9" ht="19.5" customHeight="1">
      <c r="B13" s="5">
        <v>8</v>
      </c>
      <c r="C13" s="5">
        <v>2490</v>
      </c>
      <c r="D13" s="14" t="s">
        <v>83</v>
      </c>
      <c r="E13" s="7" t="s">
        <v>157</v>
      </c>
      <c r="F13" s="5">
        <v>9848129660</v>
      </c>
      <c r="G13" s="17">
        <v>45084</v>
      </c>
      <c r="H13" s="89">
        <f t="shared" ca="1" si="0"/>
        <v>2</v>
      </c>
      <c r="I13" s="123"/>
    </row>
    <row r="14" spans="2:9" ht="19.5" customHeight="1">
      <c r="B14" s="5">
        <v>9</v>
      </c>
      <c r="C14" s="5">
        <v>2499</v>
      </c>
      <c r="D14" s="12" t="s">
        <v>221</v>
      </c>
      <c r="E14" s="7" t="s">
        <v>157</v>
      </c>
      <c r="F14" s="5">
        <v>9994476533</v>
      </c>
      <c r="G14" s="13">
        <v>45103</v>
      </c>
      <c r="H14" s="89">
        <f t="shared" ca="1" si="0"/>
        <v>2</v>
      </c>
      <c r="I14" s="123"/>
    </row>
    <row r="15" spans="2:9" ht="19.5" customHeight="1">
      <c r="B15" s="5">
        <v>10</v>
      </c>
      <c r="C15" s="5">
        <v>2501</v>
      </c>
      <c r="D15" s="14" t="s">
        <v>101</v>
      </c>
      <c r="E15" s="7" t="s">
        <v>157</v>
      </c>
      <c r="F15" s="5">
        <v>9848052474</v>
      </c>
      <c r="G15" s="13">
        <v>45103</v>
      </c>
      <c r="H15" s="89">
        <f t="shared" ca="1" si="0"/>
        <v>2</v>
      </c>
      <c r="I15" s="123"/>
    </row>
    <row r="16" spans="2:9" ht="19.5" customHeight="1">
      <c r="B16" s="5">
        <v>11</v>
      </c>
      <c r="C16" s="5">
        <v>2541</v>
      </c>
      <c r="D16" s="16" t="s">
        <v>127</v>
      </c>
      <c r="E16" s="7" t="s">
        <v>157</v>
      </c>
      <c r="F16" s="5">
        <v>7981738522</v>
      </c>
      <c r="G16" s="17">
        <v>45139</v>
      </c>
      <c r="H16" s="89">
        <f t="shared" ca="1" si="0"/>
        <v>2</v>
      </c>
      <c r="I16" s="123"/>
    </row>
    <row r="17" spans="2:9" ht="19.5" customHeight="1">
      <c r="B17" s="5">
        <v>12</v>
      </c>
      <c r="C17" s="10">
        <v>2689</v>
      </c>
      <c r="D17" s="9" t="s">
        <v>154</v>
      </c>
      <c r="E17" s="7" t="s">
        <v>157</v>
      </c>
      <c r="F17" s="18">
        <v>7006157037</v>
      </c>
      <c r="G17" s="17">
        <v>45289</v>
      </c>
      <c r="H17" s="89">
        <f t="shared" ca="1" si="0"/>
        <v>2</v>
      </c>
      <c r="I17" s="123"/>
    </row>
    <row r="18" spans="2:9" ht="19.5" customHeight="1">
      <c r="B18" s="5">
        <v>13</v>
      </c>
      <c r="C18" s="5">
        <v>2947</v>
      </c>
      <c r="D18" s="12" t="s">
        <v>204</v>
      </c>
      <c r="E18" s="7" t="s">
        <v>157</v>
      </c>
      <c r="F18" s="5">
        <v>9032045840</v>
      </c>
      <c r="G18" s="17">
        <v>45632</v>
      </c>
      <c r="H18" s="89">
        <f t="shared" ca="1" si="0"/>
        <v>1</v>
      </c>
      <c r="I18" s="123"/>
    </row>
    <row r="19" spans="2:9" ht="19.5" customHeight="1">
      <c r="B19" s="5">
        <v>14</v>
      </c>
      <c r="C19" s="5">
        <v>540</v>
      </c>
      <c r="D19" s="6" t="s">
        <v>378</v>
      </c>
      <c r="E19" s="10" t="s">
        <v>68</v>
      </c>
      <c r="F19" s="7">
        <v>9550367172</v>
      </c>
      <c r="G19" s="11">
        <v>40032</v>
      </c>
      <c r="H19" s="89">
        <f t="shared" ca="1" si="0"/>
        <v>16</v>
      </c>
      <c r="I19" s="123"/>
    </row>
    <row r="20" spans="2:9" ht="19.5" customHeight="1">
      <c r="B20" s="5">
        <v>15</v>
      </c>
      <c r="C20" s="19" t="s">
        <v>397</v>
      </c>
      <c r="D20" s="9" t="s">
        <v>67</v>
      </c>
      <c r="E20" s="10" t="s">
        <v>68</v>
      </c>
      <c r="F20" s="5">
        <v>9614547390</v>
      </c>
      <c r="G20" s="11">
        <v>45014</v>
      </c>
      <c r="H20" s="89">
        <f t="shared" ca="1" si="0"/>
        <v>3</v>
      </c>
      <c r="I20" s="123"/>
    </row>
    <row r="21" spans="2:9" ht="19.5" customHeight="1">
      <c r="B21" s="5">
        <v>16</v>
      </c>
      <c r="C21" s="5">
        <v>2454</v>
      </c>
      <c r="D21" s="16" t="s">
        <v>318</v>
      </c>
      <c r="E21" s="10" t="s">
        <v>68</v>
      </c>
      <c r="F21" s="5">
        <v>7729990303</v>
      </c>
      <c r="G21" s="11">
        <v>45047</v>
      </c>
      <c r="H21" s="89">
        <f t="shared" ca="1" si="0"/>
        <v>2</v>
      </c>
      <c r="I21" s="123"/>
    </row>
    <row r="22" spans="2:9" ht="19.5" customHeight="1">
      <c r="B22" s="5">
        <v>17</v>
      </c>
      <c r="C22" s="5">
        <v>2502</v>
      </c>
      <c r="D22" s="14" t="s">
        <v>359</v>
      </c>
      <c r="E22" s="10" t="s">
        <v>68</v>
      </c>
      <c r="F22" s="5">
        <v>9600605782</v>
      </c>
      <c r="G22" s="13">
        <v>45105</v>
      </c>
      <c r="H22" s="89">
        <f t="shared" ca="1" si="0"/>
        <v>2</v>
      </c>
      <c r="I22" s="123"/>
    </row>
    <row r="23" spans="2:9" ht="19.5" customHeight="1">
      <c r="B23" s="5">
        <v>18</v>
      </c>
      <c r="C23" s="5">
        <v>2514</v>
      </c>
      <c r="D23" s="14" t="s">
        <v>113</v>
      </c>
      <c r="E23" s="10" t="s">
        <v>68</v>
      </c>
      <c r="F23" s="5">
        <v>9500312191</v>
      </c>
      <c r="G23" s="13">
        <v>45117</v>
      </c>
      <c r="H23" s="89">
        <f t="shared" ca="1" si="0"/>
        <v>2</v>
      </c>
      <c r="I23" s="123"/>
    </row>
    <row r="24" spans="2:9" ht="19.5" customHeight="1">
      <c r="B24" s="5">
        <v>19</v>
      </c>
      <c r="C24" s="5">
        <v>2519</v>
      </c>
      <c r="D24" s="14" t="s">
        <v>120</v>
      </c>
      <c r="E24" s="10" t="s">
        <v>68</v>
      </c>
      <c r="F24" s="10">
        <v>8978116834</v>
      </c>
      <c r="G24" s="17">
        <v>45121</v>
      </c>
      <c r="H24" s="89">
        <f t="shared" ca="1" si="0"/>
        <v>2</v>
      </c>
      <c r="I24" s="123"/>
    </row>
    <row r="25" spans="2:9" ht="19.5" customHeight="1">
      <c r="B25" s="5">
        <v>20</v>
      </c>
      <c r="C25" s="5">
        <v>2934</v>
      </c>
      <c r="D25" s="12" t="s">
        <v>193</v>
      </c>
      <c r="E25" s="10" t="s">
        <v>68</v>
      </c>
      <c r="F25" s="18">
        <v>9440664462</v>
      </c>
      <c r="G25" s="17">
        <v>45600</v>
      </c>
      <c r="H25" s="89">
        <f t="shared" ca="1" si="0"/>
        <v>1</v>
      </c>
      <c r="I25" s="123"/>
    </row>
    <row r="26" spans="2:9" ht="19.5" customHeight="1">
      <c r="B26" s="5">
        <v>21</v>
      </c>
      <c r="C26" s="5">
        <v>3080</v>
      </c>
      <c r="D26" s="12" t="s">
        <v>398</v>
      </c>
      <c r="E26" s="10" t="s">
        <v>68</v>
      </c>
      <c r="F26" s="18">
        <v>6300921477</v>
      </c>
      <c r="G26" s="17" t="s">
        <v>399</v>
      </c>
      <c r="H26" s="89">
        <v>0</v>
      </c>
      <c r="I26" s="123"/>
    </row>
    <row r="27" spans="2:9" ht="19.5" customHeight="1">
      <c r="B27" s="5">
        <v>22</v>
      </c>
      <c r="C27" s="237" t="s">
        <v>420</v>
      </c>
      <c r="D27" s="12" t="s">
        <v>415</v>
      </c>
      <c r="E27" s="10" t="s">
        <v>68</v>
      </c>
      <c r="F27" s="18">
        <v>9492688417</v>
      </c>
      <c r="G27" s="17" t="s">
        <v>421</v>
      </c>
      <c r="H27" s="89">
        <v>0</v>
      </c>
      <c r="I27" s="123"/>
    </row>
    <row r="28" spans="2:9" ht="19.5" customHeight="1">
      <c r="B28" s="5">
        <v>23</v>
      </c>
      <c r="C28" s="5">
        <v>1181</v>
      </c>
      <c r="D28" s="9" t="s">
        <v>55</v>
      </c>
      <c r="E28" s="10" t="s">
        <v>68</v>
      </c>
      <c r="F28" s="7">
        <v>9493670612</v>
      </c>
      <c r="G28" s="11">
        <v>42193</v>
      </c>
      <c r="H28" s="89">
        <f t="shared" ref="H28:H36" ca="1" si="1">DATEDIF(G28,TODAY(),"y")</f>
        <v>10</v>
      </c>
      <c r="I28" s="123"/>
    </row>
    <row r="29" spans="2:9" ht="19.5" customHeight="1">
      <c r="B29" s="5">
        <v>24</v>
      </c>
      <c r="C29" s="5">
        <v>1243</v>
      </c>
      <c r="D29" s="9" t="s">
        <v>58</v>
      </c>
      <c r="E29" s="10" t="s">
        <v>68</v>
      </c>
      <c r="F29" s="7">
        <v>8790166779</v>
      </c>
      <c r="G29" s="11">
        <v>42354</v>
      </c>
      <c r="H29" s="89">
        <f t="shared" ca="1" si="1"/>
        <v>10</v>
      </c>
      <c r="I29" s="123"/>
    </row>
    <row r="30" spans="2:9" ht="19.5" customHeight="1">
      <c r="B30" s="5">
        <v>25</v>
      </c>
      <c r="C30" s="5">
        <v>2432</v>
      </c>
      <c r="D30" s="16" t="s">
        <v>280</v>
      </c>
      <c r="E30" s="10" t="s">
        <v>68</v>
      </c>
      <c r="F30" s="5">
        <v>7093243607</v>
      </c>
      <c r="G30" s="13">
        <v>44982</v>
      </c>
      <c r="H30" s="89">
        <f t="shared" ca="1" si="1"/>
        <v>3</v>
      </c>
      <c r="I30" s="123"/>
    </row>
    <row r="31" spans="2:9" ht="19.5" customHeight="1">
      <c r="B31" s="5">
        <v>26</v>
      </c>
      <c r="C31" s="5">
        <v>2728</v>
      </c>
      <c r="D31" s="14" t="s">
        <v>384</v>
      </c>
      <c r="E31" s="10" t="s">
        <v>68</v>
      </c>
      <c r="F31" s="5">
        <v>7981960066</v>
      </c>
      <c r="G31" s="13">
        <v>45385</v>
      </c>
      <c r="H31" s="89">
        <f t="shared" ca="1" si="1"/>
        <v>2</v>
      </c>
      <c r="I31" s="123"/>
    </row>
    <row r="32" spans="2:9" ht="19.5" customHeight="1">
      <c r="B32" s="5">
        <v>27</v>
      </c>
      <c r="C32" s="5">
        <v>2765</v>
      </c>
      <c r="D32" s="16" t="s">
        <v>168</v>
      </c>
      <c r="E32" s="10" t="s">
        <v>68</v>
      </c>
      <c r="F32" s="5">
        <v>9788682940</v>
      </c>
      <c r="G32" s="17">
        <v>45453</v>
      </c>
      <c r="H32" s="89">
        <f t="shared" ca="1" si="1"/>
        <v>1</v>
      </c>
      <c r="I32" s="123"/>
    </row>
    <row r="33" spans="2:9" ht="19.5" customHeight="1">
      <c r="B33" s="5">
        <v>28</v>
      </c>
      <c r="C33" s="5">
        <v>2512</v>
      </c>
      <c r="D33" s="16" t="s">
        <v>189</v>
      </c>
      <c r="E33" s="10" t="s">
        <v>68</v>
      </c>
      <c r="F33" s="5">
        <v>9292709507</v>
      </c>
      <c r="G33" s="23">
        <v>45117</v>
      </c>
      <c r="H33" s="89">
        <f t="shared" ca="1" si="1"/>
        <v>2</v>
      </c>
      <c r="I33" s="123"/>
    </row>
    <row r="34" spans="2:9" ht="19.5" customHeight="1">
      <c r="B34" s="5">
        <v>29</v>
      </c>
      <c r="C34" s="5">
        <v>2898</v>
      </c>
      <c r="D34" s="12" t="s">
        <v>190</v>
      </c>
      <c r="E34" s="10" t="s">
        <v>68</v>
      </c>
      <c r="F34" s="5">
        <v>9989895732</v>
      </c>
      <c r="G34" s="17">
        <v>45531</v>
      </c>
      <c r="H34" s="89">
        <f t="shared" ca="1" si="1"/>
        <v>1</v>
      </c>
      <c r="I34" s="123"/>
    </row>
    <row r="35" spans="2:9" ht="19.5" customHeight="1">
      <c r="B35" s="5">
        <v>30</v>
      </c>
      <c r="C35" s="5">
        <v>2965</v>
      </c>
      <c r="D35" s="12" t="s">
        <v>365</v>
      </c>
      <c r="E35" s="5" t="s">
        <v>68</v>
      </c>
      <c r="F35" s="18">
        <v>9642674547</v>
      </c>
      <c r="G35" s="17">
        <v>45663</v>
      </c>
      <c r="H35" s="89">
        <f t="shared" ca="1" si="1"/>
        <v>1</v>
      </c>
      <c r="I35" s="123"/>
    </row>
    <row r="36" spans="2:9" ht="19.5" customHeight="1">
      <c r="B36" s="5">
        <v>31</v>
      </c>
      <c r="C36" s="5">
        <v>3038</v>
      </c>
      <c r="D36" s="12" t="s">
        <v>385</v>
      </c>
      <c r="E36" s="5" t="s">
        <v>68</v>
      </c>
      <c r="F36" s="18">
        <v>8330983764</v>
      </c>
      <c r="G36" s="17">
        <v>45742</v>
      </c>
      <c r="H36" s="89">
        <f t="shared" ca="1" si="1"/>
        <v>1</v>
      </c>
      <c r="I36" s="123"/>
    </row>
    <row r="37" spans="2:9" ht="19.5" customHeight="1">
      <c r="B37" s="5">
        <v>32</v>
      </c>
      <c r="C37" s="5">
        <v>3073</v>
      </c>
      <c r="D37" s="12" t="s">
        <v>400</v>
      </c>
      <c r="E37" s="5" t="s">
        <v>68</v>
      </c>
      <c r="F37" s="18">
        <v>9885657789</v>
      </c>
      <c r="G37" s="18" t="s">
        <v>401</v>
      </c>
      <c r="H37" s="89">
        <v>0</v>
      </c>
      <c r="I37" s="123"/>
    </row>
    <row r="38" spans="2:9" ht="19.5" customHeight="1">
      <c r="B38" s="5">
        <v>33</v>
      </c>
      <c r="C38" s="5">
        <v>3081</v>
      </c>
      <c r="D38" s="12" t="s">
        <v>419</v>
      </c>
      <c r="E38" s="5" t="s">
        <v>68</v>
      </c>
      <c r="F38" s="18">
        <v>7338323477</v>
      </c>
      <c r="G38" s="18" t="s">
        <v>403</v>
      </c>
      <c r="H38" s="89">
        <v>0</v>
      </c>
      <c r="I38" s="123"/>
    </row>
    <row r="39" spans="2:9" ht="19.5" customHeight="1">
      <c r="B39" s="5">
        <v>34</v>
      </c>
      <c r="C39" s="5">
        <v>3084</v>
      </c>
      <c r="D39" s="12" t="s">
        <v>404</v>
      </c>
      <c r="E39" s="5" t="s">
        <v>68</v>
      </c>
      <c r="F39" s="18">
        <v>9492617314</v>
      </c>
      <c r="G39" s="18" t="s">
        <v>405</v>
      </c>
      <c r="H39" s="89">
        <v>0</v>
      </c>
      <c r="I39" s="123"/>
    </row>
    <row r="40" spans="2:9" ht="19.5" customHeight="1">
      <c r="B40" s="5">
        <v>35</v>
      </c>
      <c r="C40" s="5">
        <v>2921</v>
      </c>
      <c r="D40" s="12" t="s">
        <v>364</v>
      </c>
      <c r="E40" s="10" t="s">
        <v>192</v>
      </c>
      <c r="F40" s="18">
        <v>9014766760</v>
      </c>
      <c r="G40" s="17">
        <v>45580</v>
      </c>
      <c r="H40" s="89">
        <f t="shared" ref="H40:H49" ca="1" si="2">DATEDIF(G40,TODAY(),"y")</f>
        <v>1</v>
      </c>
      <c r="I40" s="123"/>
    </row>
    <row r="41" spans="2:9" ht="19.5" customHeight="1">
      <c r="B41" s="5">
        <v>36</v>
      </c>
      <c r="C41" s="76">
        <v>3089</v>
      </c>
      <c r="D41" s="69" t="s">
        <v>416</v>
      </c>
      <c r="E41" s="123" t="s">
        <v>417</v>
      </c>
      <c r="F41" s="123">
        <v>8790242128</v>
      </c>
      <c r="G41" s="96">
        <v>45826</v>
      </c>
      <c r="H41" s="89">
        <f t="shared" ca="1" si="2"/>
        <v>0</v>
      </c>
      <c r="I41" s="123"/>
    </row>
    <row r="42" spans="2:9" ht="19.5" customHeight="1">
      <c r="B42" s="5">
        <v>37</v>
      </c>
      <c r="C42" s="5">
        <v>3129</v>
      </c>
      <c r="D42" s="12" t="s">
        <v>422</v>
      </c>
      <c r="E42" s="5" t="s">
        <v>68</v>
      </c>
      <c r="F42" s="18">
        <v>9491432819</v>
      </c>
      <c r="G42" s="17">
        <v>45845</v>
      </c>
      <c r="H42" s="89">
        <f t="shared" ca="1" si="2"/>
        <v>0</v>
      </c>
      <c r="I42" s="123"/>
    </row>
    <row r="43" spans="2:9" ht="19.5" customHeight="1">
      <c r="B43" s="5">
        <v>38</v>
      </c>
      <c r="C43" s="5"/>
      <c r="D43" s="12" t="s">
        <v>556</v>
      </c>
      <c r="E43" s="5" t="s">
        <v>68</v>
      </c>
      <c r="F43" s="18">
        <v>9494841792</v>
      </c>
      <c r="G43" s="17"/>
      <c r="H43" s="89"/>
      <c r="I43" s="123"/>
    </row>
    <row r="44" spans="2:9" ht="19.5" customHeight="1">
      <c r="B44" s="5">
        <v>39</v>
      </c>
      <c r="C44" s="5">
        <v>2936</v>
      </c>
      <c r="D44" s="12" t="s">
        <v>197</v>
      </c>
      <c r="E44" s="10" t="s">
        <v>198</v>
      </c>
      <c r="F44" s="18">
        <v>8125544167</v>
      </c>
      <c r="G44" s="17">
        <v>45600</v>
      </c>
      <c r="H44" s="89">
        <f t="shared" ca="1" si="2"/>
        <v>1</v>
      </c>
      <c r="I44" s="123"/>
    </row>
    <row r="45" spans="2:9" ht="19.5" customHeight="1">
      <c r="B45" s="5">
        <v>40</v>
      </c>
      <c r="C45" s="5">
        <v>2950</v>
      </c>
      <c r="D45" s="12" t="s">
        <v>390</v>
      </c>
      <c r="E45" s="10" t="s">
        <v>198</v>
      </c>
      <c r="F45" s="5">
        <v>9000024070</v>
      </c>
      <c r="G45" s="17">
        <v>45638</v>
      </c>
      <c r="H45" s="89">
        <f t="shared" ca="1" si="2"/>
        <v>1</v>
      </c>
      <c r="I45" s="123"/>
    </row>
    <row r="46" spans="2:9" ht="19.5" customHeight="1">
      <c r="B46" s="5">
        <v>41</v>
      </c>
      <c r="C46" s="5">
        <v>633</v>
      </c>
      <c r="D46" s="16" t="s">
        <v>305</v>
      </c>
      <c r="E46" s="5" t="s">
        <v>320</v>
      </c>
      <c r="F46" s="5">
        <v>9494678628</v>
      </c>
      <c r="G46" s="13">
        <v>40380</v>
      </c>
      <c r="H46" s="89">
        <f t="shared" ca="1" si="2"/>
        <v>15</v>
      </c>
      <c r="I46" s="123"/>
    </row>
    <row r="47" spans="2:9" ht="19.5" customHeight="1">
      <c r="B47" s="5">
        <v>42</v>
      </c>
      <c r="C47" s="5">
        <v>2285</v>
      </c>
      <c r="D47" s="16" t="s">
        <v>306</v>
      </c>
      <c r="E47" s="5" t="s">
        <v>321</v>
      </c>
      <c r="F47" s="5">
        <v>9640066261</v>
      </c>
      <c r="G47" s="13">
        <v>44718</v>
      </c>
      <c r="H47" s="89">
        <f t="shared" ca="1" si="2"/>
        <v>3</v>
      </c>
      <c r="I47" s="123"/>
    </row>
    <row r="48" spans="2:9" ht="19.5" customHeight="1">
      <c r="B48" s="5">
        <v>43</v>
      </c>
      <c r="C48" s="5">
        <v>2925</v>
      </c>
      <c r="D48" s="12" t="s">
        <v>369</v>
      </c>
      <c r="E48" s="5" t="s">
        <v>62</v>
      </c>
      <c r="F48" s="18">
        <v>7995794652</v>
      </c>
      <c r="G48" s="293">
        <v>45582</v>
      </c>
      <c r="H48" s="89">
        <f t="shared" ca="1" si="2"/>
        <v>1</v>
      </c>
      <c r="I48" s="123"/>
    </row>
    <row r="49" spans="2:9" ht="19.5" customHeight="1">
      <c r="B49" s="5">
        <v>44</v>
      </c>
      <c r="C49" s="5">
        <v>3052</v>
      </c>
      <c r="D49" s="12" t="s">
        <v>202</v>
      </c>
      <c r="E49" s="5" t="s">
        <v>372</v>
      </c>
      <c r="F49" s="18">
        <v>7331142998</v>
      </c>
      <c r="G49" s="17">
        <v>45778</v>
      </c>
      <c r="H49" s="89">
        <f t="shared" ca="1" si="2"/>
        <v>0</v>
      </c>
      <c r="I49" s="123"/>
    </row>
    <row r="50" spans="2:9" ht="9" customHeight="1">
      <c r="B50" s="371"/>
      <c r="C50" s="372"/>
      <c r="D50" s="373"/>
      <c r="E50" s="372"/>
      <c r="F50" s="374"/>
      <c r="G50" s="375"/>
      <c r="H50" s="376"/>
    </row>
    <row r="51" spans="2:9" ht="20.100000000000001" customHeight="1">
      <c r="B51" s="242">
        <v>44</v>
      </c>
      <c r="C51" s="242">
        <v>30410</v>
      </c>
      <c r="D51" s="244" t="s">
        <v>408</v>
      </c>
      <c r="E51" s="242" t="s">
        <v>228</v>
      </c>
      <c r="F51" s="242">
        <v>7995622962</v>
      </c>
      <c r="G51" s="245">
        <v>44928</v>
      </c>
      <c r="H51" s="69"/>
      <c r="I51" s="123"/>
    </row>
    <row r="52" spans="2:9" ht="20.100000000000001" customHeight="1">
      <c r="B52" s="242">
        <v>45</v>
      </c>
      <c r="C52" s="242">
        <v>30744</v>
      </c>
      <c r="D52" s="244" t="s">
        <v>308</v>
      </c>
      <c r="E52" s="242" t="s">
        <v>309</v>
      </c>
      <c r="F52" s="242">
        <v>8790500801</v>
      </c>
      <c r="G52" s="246">
        <v>45071</v>
      </c>
      <c r="H52" s="69"/>
      <c r="I52" s="123"/>
    </row>
    <row r="53" spans="2:9" ht="20.100000000000001" customHeight="1">
      <c r="B53" s="361"/>
      <c r="C53" s="361"/>
      <c r="D53" s="362"/>
      <c r="E53" s="361"/>
      <c r="F53" s="361"/>
      <c r="G53" s="363"/>
    </row>
    <row r="54" spans="2:9" ht="20.100000000000001" customHeight="1">
      <c r="B54" s="361"/>
      <c r="C54" s="361"/>
      <c r="D54" s="362"/>
      <c r="E54" s="361"/>
      <c r="F54" s="361"/>
      <c r="G54" s="363"/>
    </row>
    <row r="55" spans="2:9" ht="20.100000000000001" customHeight="1">
      <c r="B55" s="569" t="s">
        <v>423</v>
      </c>
      <c r="C55" s="569"/>
      <c r="D55" s="569"/>
      <c r="E55" s="569"/>
      <c r="F55" s="569"/>
      <c r="G55" s="569"/>
      <c r="H55" s="569"/>
      <c r="I55" s="570"/>
    </row>
    <row r="56" spans="2:9" ht="7.5" customHeight="1">
      <c r="B56" s="572"/>
      <c r="C56" s="573"/>
      <c r="D56" s="573"/>
      <c r="E56" s="573"/>
      <c r="F56" s="574"/>
      <c r="G56" s="377"/>
      <c r="H56" s="377"/>
      <c r="I56" s="571"/>
    </row>
    <row r="57" spans="2:9" ht="28.5" customHeight="1">
      <c r="B57" s="259" t="s">
        <v>445</v>
      </c>
      <c r="C57" s="259" t="s">
        <v>285</v>
      </c>
      <c r="D57" s="259" t="s">
        <v>446</v>
      </c>
      <c r="E57" s="259" t="s">
        <v>4</v>
      </c>
      <c r="F57" s="2" t="s">
        <v>8</v>
      </c>
      <c r="G57" s="3" t="s">
        <v>394</v>
      </c>
      <c r="H57" s="4" t="s">
        <v>395</v>
      </c>
      <c r="I57" s="123"/>
    </row>
    <row r="58" spans="2:9" ht="17.25" customHeight="1">
      <c r="B58" s="5">
        <v>1</v>
      </c>
      <c r="C58" s="306">
        <v>30904</v>
      </c>
      <c r="D58" s="12" t="s">
        <v>406</v>
      </c>
      <c r="E58" s="5" t="s">
        <v>62</v>
      </c>
      <c r="F58" s="18">
        <v>8688928251</v>
      </c>
      <c r="G58" s="17">
        <v>45817</v>
      </c>
      <c r="H58" s="4"/>
      <c r="I58" s="123"/>
    </row>
    <row r="59" spans="2:9" ht="17.25" customHeight="1">
      <c r="B59" s="5">
        <v>2</v>
      </c>
      <c r="C59" s="306">
        <v>30917</v>
      </c>
      <c r="D59" s="12" t="s">
        <v>424</v>
      </c>
      <c r="E59" s="5" t="s">
        <v>62</v>
      </c>
      <c r="F59" s="18">
        <v>7075775397</v>
      </c>
      <c r="G59" s="17">
        <v>45831</v>
      </c>
      <c r="H59" s="69"/>
      <c r="I59" s="123"/>
    </row>
    <row r="60" spans="2:9" ht="17.25" customHeight="1">
      <c r="B60" s="290">
        <v>3</v>
      </c>
      <c r="C60" s="318">
        <v>30920</v>
      </c>
      <c r="D60" s="78" t="s">
        <v>425</v>
      </c>
      <c r="E60" s="290" t="s">
        <v>62</v>
      </c>
      <c r="F60" s="291">
        <v>7382266572</v>
      </c>
      <c r="G60" s="17">
        <v>45831</v>
      </c>
      <c r="H60" s="69"/>
      <c r="I60" s="96">
        <v>45939</v>
      </c>
    </row>
    <row r="61" spans="2:9" ht="17.25" customHeight="1">
      <c r="B61" s="5">
        <v>4</v>
      </c>
      <c r="C61" s="306">
        <v>30934</v>
      </c>
      <c r="D61" s="12" t="s">
        <v>426</v>
      </c>
      <c r="E61" s="5" t="s">
        <v>62</v>
      </c>
      <c r="F61" s="18">
        <v>7569374895</v>
      </c>
      <c r="G61" s="17">
        <v>45834</v>
      </c>
      <c r="H61" s="69"/>
      <c r="I61" s="123"/>
    </row>
    <row r="62" spans="2:9" ht="17.25" customHeight="1">
      <c r="B62" s="5">
        <v>5</v>
      </c>
      <c r="C62" s="306">
        <v>30936</v>
      </c>
      <c r="D62" s="12" t="s">
        <v>427</v>
      </c>
      <c r="E62" s="5" t="s">
        <v>62</v>
      </c>
      <c r="F62" s="18">
        <v>8639469394</v>
      </c>
      <c r="G62" s="17">
        <v>45834</v>
      </c>
      <c r="H62" s="69"/>
      <c r="I62" s="123"/>
    </row>
    <row r="63" spans="2:9" ht="17.25" customHeight="1">
      <c r="B63" s="5">
        <v>6</v>
      </c>
      <c r="C63" s="306">
        <v>30940</v>
      </c>
      <c r="D63" s="12" t="s">
        <v>428</v>
      </c>
      <c r="E63" s="5" t="s">
        <v>62</v>
      </c>
      <c r="F63" s="18">
        <v>9573979580</v>
      </c>
      <c r="G63" s="17">
        <v>45834</v>
      </c>
      <c r="H63" s="69"/>
      <c r="I63" s="123"/>
    </row>
    <row r="64" spans="2:9" ht="17.25" customHeight="1">
      <c r="B64" s="5">
        <v>7</v>
      </c>
      <c r="C64" s="306">
        <v>30945</v>
      </c>
      <c r="D64" s="12" t="s">
        <v>430</v>
      </c>
      <c r="E64" s="5" t="s">
        <v>62</v>
      </c>
      <c r="F64" s="18">
        <v>6304016136</v>
      </c>
      <c r="G64" s="17">
        <v>45835</v>
      </c>
      <c r="H64" s="69"/>
      <c r="I64" s="123"/>
    </row>
    <row r="65" spans="2:9" ht="17.25" customHeight="1">
      <c r="B65" s="5">
        <v>8</v>
      </c>
      <c r="C65" s="306">
        <v>30948</v>
      </c>
      <c r="D65" s="12" t="s">
        <v>431</v>
      </c>
      <c r="E65" s="5" t="s">
        <v>62</v>
      </c>
      <c r="F65" s="18">
        <v>8978224170</v>
      </c>
      <c r="G65" s="17">
        <v>45838</v>
      </c>
      <c r="H65" s="69"/>
      <c r="I65" s="123"/>
    </row>
    <row r="66" spans="2:9" ht="17.25" customHeight="1">
      <c r="B66" s="290">
        <v>9</v>
      </c>
      <c r="C66" s="318">
        <v>30950</v>
      </c>
      <c r="D66" s="78" t="s">
        <v>433</v>
      </c>
      <c r="E66" s="290" t="s">
        <v>62</v>
      </c>
      <c r="F66" s="291">
        <v>7780289853</v>
      </c>
      <c r="G66" s="17">
        <v>45838</v>
      </c>
      <c r="H66" s="69"/>
      <c r="I66" s="96">
        <v>45925</v>
      </c>
    </row>
    <row r="67" spans="2:9" ht="17.25" customHeight="1">
      <c r="B67" s="5">
        <v>10</v>
      </c>
      <c r="C67" s="306">
        <v>30951</v>
      </c>
      <c r="D67" s="12" t="s">
        <v>434</v>
      </c>
      <c r="E67" s="5" t="s">
        <v>62</v>
      </c>
      <c r="F67" s="18">
        <v>9398268887</v>
      </c>
      <c r="G67" s="17">
        <v>45838</v>
      </c>
      <c r="H67" s="69"/>
      <c r="I67" s="123"/>
    </row>
    <row r="68" spans="2:9" ht="17.25" customHeight="1">
      <c r="B68" s="290">
        <v>11</v>
      </c>
      <c r="C68" s="318">
        <v>30952</v>
      </c>
      <c r="D68" s="78" t="s">
        <v>435</v>
      </c>
      <c r="E68" s="290" t="s">
        <v>62</v>
      </c>
      <c r="F68" s="291">
        <v>7893194879</v>
      </c>
      <c r="G68" s="17">
        <v>45838</v>
      </c>
      <c r="H68" s="69"/>
      <c r="I68" s="96">
        <v>45925</v>
      </c>
    </row>
    <row r="69" spans="2:9" ht="17.25" customHeight="1">
      <c r="B69" s="290">
        <v>12</v>
      </c>
      <c r="C69" s="318">
        <v>30953</v>
      </c>
      <c r="D69" s="78" t="s">
        <v>436</v>
      </c>
      <c r="E69" s="290" t="s">
        <v>62</v>
      </c>
      <c r="F69" s="291">
        <v>8341347822</v>
      </c>
      <c r="G69" s="17">
        <v>45838</v>
      </c>
      <c r="H69" s="69"/>
      <c r="I69" s="96">
        <v>45946</v>
      </c>
    </row>
    <row r="70" spans="2:9" ht="17.25" customHeight="1">
      <c r="B70" s="5">
        <v>13</v>
      </c>
      <c r="C70" s="306">
        <v>30955</v>
      </c>
      <c r="D70" s="14" t="s">
        <v>437</v>
      </c>
      <c r="E70" s="5" t="s">
        <v>62</v>
      </c>
      <c r="F70" s="5">
        <v>6281270604</v>
      </c>
      <c r="G70" s="13">
        <v>45840</v>
      </c>
      <c r="H70" s="101"/>
      <c r="I70" s="123"/>
    </row>
    <row r="71" spans="2:9" ht="17.25" customHeight="1">
      <c r="B71" s="5">
        <v>14</v>
      </c>
      <c r="C71" s="307">
        <v>30958</v>
      </c>
      <c r="D71" s="55" t="s">
        <v>438</v>
      </c>
      <c r="E71" s="5" t="s">
        <v>62</v>
      </c>
      <c r="F71" s="5">
        <v>8074663963</v>
      </c>
      <c r="G71" s="13">
        <v>45842</v>
      </c>
      <c r="H71" s="69"/>
      <c r="I71" s="123"/>
    </row>
    <row r="72" spans="2:9" ht="17.25" customHeight="1">
      <c r="B72" s="5">
        <v>15</v>
      </c>
      <c r="C72" s="306">
        <v>30960</v>
      </c>
      <c r="D72" s="14" t="s">
        <v>439</v>
      </c>
      <c r="E72" s="5" t="s">
        <v>62</v>
      </c>
      <c r="F72" s="5">
        <v>9381847839</v>
      </c>
      <c r="G72" s="13">
        <v>45842</v>
      </c>
      <c r="H72" s="101"/>
      <c r="I72" s="123"/>
    </row>
    <row r="73" spans="2:9" ht="17.25" customHeight="1">
      <c r="B73" s="5">
        <v>16</v>
      </c>
      <c r="C73" s="306">
        <v>30961</v>
      </c>
      <c r="D73" s="14" t="s">
        <v>440</v>
      </c>
      <c r="E73" s="5" t="s">
        <v>62</v>
      </c>
      <c r="F73" s="5">
        <v>6300368240</v>
      </c>
      <c r="G73" s="13">
        <v>45843</v>
      </c>
      <c r="H73" s="101"/>
      <c r="I73" s="123"/>
    </row>
    <row r="74" spans="2:9" ht="17.25" customHeight="1">
      <c r="B74" s="5">
        <v>17</v>
      </c>
      <c r="C74" s="306">
        <v>30962</v>
      </c>
      <c r="D74" s="14" t="s">
        <v>447</v>
      </c>
      <c r="E74" s="5" t="s">
        <v>62</v>
      </c>
      <c r="F74" s="5">
        <v>9392954135</v>
      </c>
      <c r="G74" s="13">
        <v>45845</v>
      </c>
      <c r="H74" s="69"/>
      <c r="I74" s="123"/>
    </row>
    <row r="75" spans="2:9" ht="17.25" customHeight="1">
      <c r="B75" s="5">
        <v>18</v>
      </c>
      <c r="C75" s="306">
        <v>30964</v>
      </c>
      <c r="D75" s="14" t="s">
        <v>448</v>
      </c>
      <c r="E75" s="5" t="s">
        <v>62</v>
      </c>
      <c r="F75" s="5">
        <v>9515172678</v>
      </c>
      <c r="G75" s="13" t="s">
        <v>449</v>
      </c>
      <c r="H75" s="69"/>
      <c r="I75" s="123"/>
    </row>
    <row r="76" spans="2:9" ht="17.25" customHeight="1">
      <c r="B76" s="5">
        <v>19</v>
      </c>
      <c r="C76" s="306">
        <v>30966</v>
      </c>
      <c r="D76" s="14" t="s">
        <v>450</v>
      </c>
      <c r="E76" s="5" t="s">
        <v>62</v>
      </c>
      <c r="F76" s="5">
        <v>9866896657</v>
      </c>
      <c r="G76" s="13" t="s">
        <v>451</v>
      </c>
      <c r="H76" s="101"/>
      <c r="I76" s="123"/>
    </row>
    <row r="77" spans="2:9" ht="17.25" customHeight="1">
      <c r="B77" s="5">
        <v>20</v>
      </c>
      <c r="C77" s="306">
        <v>30967</v>
      </c>
      <c r="D77" s="14" t="s">
        <v>452</v>
      </c>
      <c r="E77" s="5" t="s">
        <v>62</v>
      </c>
      <c r="F77" s="5">
        <v>7396362838</v>
      </c>
      <c r="G77" s="13" t="s">
        <v>451</v>
      </c>
      <c r="H77" s="101"/>
      <c r="I77" s="123"/>
    </row>
    <row r="78" spans="2:9" ht="17.25" customHeight="1">
      <c r="B78" s="5">
        <v>21</v>
      </c>
      <c r="C78" s="306">
        <v>30969</v>
      </c>
      <c r="D78" s="16" t="s">
        <v>453</v>
      </c>
      <c r="E78" s="5" t="s">
        <v>62</v>
      </c>
      <c r="F78" s="5">
        <v>8247017365</v>
      </c>
      <c r="G78" s="13" t="s">
        <v>454</v>
      </c>
      <c r="H78" s="101"/>
      <c r="I78" s="123"/>
    </row>
    <row r="79" spans="2:9" ht="17.25" customHeight="1">
      <c r="B79" s="5">
        <v>22</v>
      </c>
      <c r="C79" s="306">
        <v>30970</v>
      </c>
      <c r="D79" s="16" t="s">
        <v>455</v>
      </c>
      <c r="E79" s="5" t="s">
        <v>62</v>
      </c>
      <c r="F79" s="5">
        <v>8125869185</v>
      </c>
      <c r="G79" s="13" t="s">
        <v>454</v>
      </c>
      <c r="H79" s="101"/>
      <c r="I79" s="123"/>
    </row>
    <row r="80" spans="2:9" ht="17.25" customHeight="1">
      <c r="B80" s="5">
        <v>23</v>
      </c>
      <c r="C80" s="306">
        <v>30971</v>
      </c>
      <c r="D80" s="16" t="s">
        <v>456</v>
      </c>
      <c r="E80" s="5" t="s">
        <v>62</v>
      </c>
      <c r="F80" s="10">
        <v>9000393290</v>
      </c>
      <c r="G80" s="23">
        <v>45847</v>
      </c>
      <c r="H80" s="260"/>
      <c r="I80" s="123"/>
    </row>
    <row r="81" spans="2:9" ht="17.25" customHeight="1">
      <c r="B81" s="5">
        <v>24</v>
      </c>
      <c r="C81" s="306">
        <v>30981</v>
      </c>
      <c r="D81" s="16" t="s">
        <v>458</v>
      </c>
      <c r="E81" s="5" t="s">
        <v>62</v>
      </c>
      <c r="F81" s="5">
        <v>7382713002</v>
      </c>
      <c r="G81" s="13" t="s">
        <v>459</v>
      </c>
      <c r="H81" s="76"/>
      <c r="I81" s="123"/>
    </row>
    <row r="82" spans="2:9" ht="17.25" customHeight="1">
      <c r="B82" s="5">
        <v>25</v>
      </c>
      <c r="C82" s="306">
        <v>30989</v>
      </c>
      <c r="D82" s="261" t="s">
        <v>464</v>
      </c>
      <c r="E82" s="5" t="s">
        <v>62</v>
      </c>
      <c r="F82" s="18">
        <v>7995627385</v>
      </c>
      <c r="G82" s="17" t="s">
        <v>463</v>
      </c>
      <c r="H82" s="69"/>
      <c r="I82" s="123"/>
    </row>
    <row r="83" spans="2:9" ht="17.25" customHeight="1">
      <c r="B83" s="5">
        <v>26</v>
      </c>
      <c r="C83" s="306">
        <v>30997</v>
      </c>
      <c r="D83" s="261" t="s">
        <v>468</v>
      </c>
      <c r="E83" s="5" t="s">
        <v>62</v>
      </c>
      <c r="F83" s="18">
        <v>7013229574</v>
      </c>
      <c r="G83" s="17" t="s">
        <v>469</v>
      </c>
      <c r="H83" s="69"/>
      <c r="I83" s="123"/>
    </row>
    <row r="84" spans="2:9" ht="17.25" customHeight="1">
      <c r="B84" s="5">
        <v>27</v>
      </c>
      <c r="C84" s="308">
        <v>30999</v>
      </c>
      <c r="D84" s="284" t="s">
        <v>518</v>
      </c>
      <c r="E84" s="5" t="s">
        <v>62</v>
      </c>
      <c r="F84" s="18">
        <v>9121426349</v>
      </c>
      <c r="G84" s="17"/>
      <c r="H84" s="69"/>
      <c r="I84" s="123"/>
    </row>
    <row r="85" spans="2:9" ht="17.25" customHeight="1">
      <c r="B85" s="290">
        <v>28</v>
      </c>
      <c r="C85" s="379">
        <v>31001</v>
      </c>
      <c r="D85" s="380" t="s">
        <v>519</v>
      </c>
      <c r="E85" s="290" t="s">
        <v>62</v>
      </c>
      <c r="F85" s="291">
        <v>9100572462</v>
      </c>
      <c r="G85" s="17"/>
      <c r="H85" s="69"/>
      <c r="I85" s="96">
        <v>45925</v>
      </c>
    </row>
    <row r="86" spans="2:9" ht="17.25" customHeight="1">
      <c r="B86" s="5">
        <v>29</v>
      </c>
      <c r="C86" s="306">
        <v>31006</v>
      </c>
      <c r="D86" s="261" t="s">
        <v>513</v>
      </c>
      <c r="E86" s="5" t="s">
        <v>62</v>
      </c>
      <c r="F86" s="18">
        <v>8125924512</v>
      </c>
      <c r="G86" s="96">
        <v>45864</v>
      </c>
      <c r="H86" s="69"/>
      <c r="I86" s="123"/>
    </row>
    <row r="87" spans="2:9" ht="17.25" customHeight="1">
      <c r="B87" s="5">
        <v>30</v>
      </c>
      <c r="C87" s="306">
        <v>31007</v>
      </c>
      <c r="D87" s="261" t="s">
        <v>516</v>
      </c>
      <c r="E87" s="5" t="s">
        <v>62</v>
      </c>
      <c r="F87" s="18">
        <v>8074825238</v>
      </c>
      <c r="G87" s="96">
        <v>45864</v>
      </c>
      <c r="H87" s="69"/>
      <c r="I87" s="123"/>
    </row>
    <row r="88" spans="2:9" ht="17.25" customHeight="1">
      <c r="B88" s="5">
        <v>31</v>
      </c>
      <c r="C88" s="306">
        <v>31008</v>
      </c>
      <c r="D88" s="261" t="s">
        <v>510</v>
      </c>
      <c r="E88" s="5" t="s">
        <v>62</v>
      </c>
      <c r="F88" s="18">
        <v>7416250259</v>
      </c>
      <c r="G88" s="96">
        <v>45864</v>
      </c>
      <c r="H88" s="69"/>
      <c r="I88" s="123"/>
    </row>
    <row r="89" spans="2:9" ht="17.25" customHeight="1">
      <c r="B89" s="5">
        <v>32</v>
      </c>
      <c r="C89" s="306">
        <v>31009</v>
      </c>
      <c r="D89" s="261" t="s">
        <v>511</v>
      </c>
      <c r="E89" s="5" t="s">
        <v>62</v>
      </c>
      <c r="F89" s="18">
        <v>9652560279</v>
      </c>
      <c r="G89" s="96">
        <v>45864</v>
      </c>
      <c r="H89" s="69"/>
      <c r="I89" s="123"/>
    </row>
    <row r="90" spans="2:9" ht="17.25" customHeight="1">
      <c r="B90" s="5">
        <v>33</v>
      </c>
      <c r="C90" s="306">
        <v>31010</v>
      </c>
      <c r="D90" s="261" t="s">
        <v>515</v>
      </c>
      <c r="E90" s="5" t="s">
        <v>62</v>
      </c>
      <c r="F90" s="18">
        <v>6303868693</v>
      </c>
      <c r="G90" s="96">
        <v>45866</v>
      </c>
      <c r="H90" s="69"/>
      <c r="I90" s="123"/>
    </row>
    <row r="91" spans="2:9" ht="17.25" customHeight="1">
      <c r="B91" s="5">
        <v>34</v>
      </c>
      <c r="C91" s="309">
        <v>31011</v>
      </c>
      <c r="D91" s="69" t="s">
        <v>514</v>
      </c>
      <c r="E91" s="5" t="s">
        <v>62</v>
      </c>
      <c r="F91" s="18">
        <v>7901533265</v>
      </c>
      <c r="G91" s="96">
        <v>45866</v>
      </c>
      <c r="H91" s="283"/>
      <c r="I91" s="123"/>
    </row>
    <row r="92" spans="2:9" ht="17.25" customHeight="1">
      <c r="B92" s="5">
        <v>35</v>
      </c>
      <c r="C92" s="306">
        <v>31014</v>
      </c>
      <c r="D92" s="261" t="s">
        <v>509</v>
      </c>
      <c r="E92" s="5" t="s">
        <v>62</v>
      </c>
      <c r="F92" s="18">
        <v>7601073553</v>
      </c>
      <c r="G92" s="17"/>
      <c r="H92" s="69"/>
      <c r="I92" s="123"/>
    </row>
    <row r="93" spans="2:9" ht="17.25" customHeight="1">
      <c r="B93" s="5">
        <v>36</v>
      </c>
      <c r="C93" s="306">
        <v>31016</v>
      </c>
      <c r="D93" s="261" t="s">
        <v>508</v>
      </c>
      <c r="E93" s="5" t="s">
        <v>62</v>
      </c>
      <c r="F93" s="18">
        <v>9125941185</v>
      </c>
      <c r="G93" s="96">
        <v>45867</v>
      </c>
      <c r="H93" s="69"/>
      <c r="I93" s="123"/>
    </row>
    <row r="94" spans="2:9" ht="17.25" customHeight="1">
      <c r="B94" s="290">
        <v>37</v>
      </c>
      <c r="C94" s="318">
        <v>31017</v>
      </c>
      <c r="D94" s="78" t="s">
        <v>527</v>
      </c>
      <c r="E94" s="290" t="s">
        <v>62</v>
      </c>
      <c r="F94" s="291">
        <v>8179537456</v>
      </c>
      <c r="G94" s="17"/>
      <c r="H94" s="69"/>
      <c r="I94" s="62">
        <v>45961</v>
      </c>
    </row>
    <row r="95" spans="2:9" ht="17.25" customHeight="1">
      <c r="B95" s="5">
        <v>38</v>
      </c>
      <c r="C95" s="306">
        <v>31018</v>
      </c>
      <c r="D95" s="312" t="s">
        <v>517</v>
      </c>
      <c r="E95" s="5" t="s">
        <v>62</v>
      </c>
      <c r="F95" s="123">
        <v>8309517227</v>
      </c>
      <c r="G95" s="96">
        <v>45869</v>
      </c>
      <c r="H95" s="69"/>
      <c r="I95" s="123"/>
    </row>
    <row r="96" spans="2:9" ht="17.25" customHeight="1">
      <c r="B96" s="290">
        <v>39</v>
      </c>
      <c r="C96" s="386">
        <v>31045</v>
      </c>
      <c r="D96" s="387" t="s">
        <v>492</v>
      </c>
      <c r="E96" s="290" t="s">
        <v>62</v>
      </c>
      <c r="F96" s="291">
        <v>7674094619</v>
      </c>
      <c r="G96" s="17"/>
      <c r="H96" s="69"/>
      <c r="I96" s="96">
        <v>45927</v>
      </c>
    </row>
    <row r="97" spans="2:9" ht="17.25" customHeight="1">
      <c r="B97" s="5">
        <v>40</v>
      </c>
      <c r="C97" s="311">
        <v>31052</v>
      </c>
      <c r="D97" s="312" t="s">
        <v>523</v>
      </c>
      <c r="E97" s="5" t="s">
        <v>62</v>
      </c>
      <c r="F97" s="18">
        <v>9346781019</v>
      </c>
      <c r="G97" s="17"/>
      <c r="H97" s="69"/>
      <c r="I97" s="123"/>
    </row>
    <row r="98" spans="2:9" ht="17.25" customHeight="1">
      <c r="B98" s="5">
        <v>41</v>
      </c>
      <c r="C98" s="306">
        <v>31055</v>
      </c>
      <c r="D98" s="262" t="s">
        <v>521</v>
      </c>
      <c r="E98" s="5" t="s">
        <v>62</v>
      </c>
      <c r="F98" s="18">
        <v>9505237020</v>
      </c>
      <c r="G98" s="17"/>
      <c r="H98" s="69"/>
      <c r="I98" s="123"/>
    </row>
    <row r="99" spans="2:9" ht="17.25" customHeight="1">
      <c r="B99" s="5">
        <v>42</v>
      </c>
      <c r="C99" s="306">
        <v>31056</v>
      </c>
      <c r="D99" s="261" t="s">
        <v>524</v>
      </c>
      <c r="E99" s="5" t="s">
        <v>62</v>
      </c>
      <c r="F99" s="18">
        <v>9390166821</v>
      </c>
      <c r="G99" s="17">
        <v>45880</v>
      </c>
      <c r="H99" s="69"/>
      <c r="I99" s="123"/>
    </row>
    <row r="100" spans="2:9" ht="17.25" customHeight="1">
      <c r="B100" s="5">
        <v>43</v>
      </c>
      <c r="C100" s="306">
        <v>31058</v>
      </c>
      <c r="D100" s="365" t="s">
        <v>528</v>
      </c>
      <c r="E100" s="5" t="s">
        <v>62</v>
      </c>
      <c r="F100" s="18">
        <v>9550763660</v>
      </c>
      <c r="G100" s="69"/>
      <c r="H100" s="69"/>
      <c r="I100" s="123"/>
    </row>
    <row r="101" spans="2:9" ht="17.25" customHeight="1">
      <c r="B101" s="5">
        <v>44</v>
      </c>
      <c r="C101" s="364">
        <v>31070</v>
      </c>
      <c r="D101" s="365" t="s">
        <v>548</v>
      </c>
      <c r="E101" s="5" t="s">
        <v>62</v>
      </c>
      <c r="F101" s="18">
        <v>9030272655</v>
      </c>
      <c r="G101" s="69"/>
      <c r="H101" s="69"/>
      <c r="I101" s="123"/>
    </row>
    <row r="102" spans="2:9" ht="17.25" customHeight="1">
      <c r="B102" s="5">
        <v>45</v>
      </c>
      <c r="C102" s="306">
        <v>31071</v>
      </c>
      <c r="D102" s="365" t="s">
        <v>549</v>
      </c>
      <c r="E102" s="5" t="s">
        <v>62</v>
      </c>
      <c r="F102" s="18">
        <v>8019998514</v>
      </c>
      <c r="G102" s="69"/>
      <c r="H102" s="69"/>
      <c r="I102" s="123"/>
    </row>
    <row r="103" spans="2:9" ht="17.25" customHeight="1">
      <c r="B103" s="5">
        <v>46</v>
      </c>
      <c r="C103" s="306">
        <v>31078</v>
      </c>
      <c r="D103" s="365" t="s">
        <v>550</v>
      </c>
      <c r="E103" s="5" t="s">
        <v>62</v>
      </c>
      <c r="F103" s="18">
        <v>6302491536</v>
      </c>
      <c r="G103" s="18"/>
      <c r="H103" s="69"/>
      <c r="I103" s="123"/>
    </row>
    <row r="104" spans="2:9" ht="17.25" customHeight="1">
      <c r="B104" s="5">
        <v>47</v>
      </c>
      <c r="C104" s="364">
        <v>31082</v>
      </c>
      <c r="D104" s="365" t="s">
        <v>547</v>
      </c>
      <c r="E104" s="5" t="s">
        <v>62</v>
      </c>
      <c r="F104" s="18">
        <v>9848498113</v>
      </c>
      <c r="G104" s="18"/>
      <c r="H104" s="69"/>
      <c r="I104" s="123"/>
    </row>
    <row r="105" spans="2:9" ht="17.25" customHeight="1">
      <c r="B105" s="5">
        <v>48</v>
      </c>
      <c r="C105" s="306">
        <v>31083</v>
      </c>
      <c r="D105" s="365" t="s">
        <v>546</v>
      </c>
      <c r="E105" s="5" t="s">
        <v>62</v>
      </c>
      <c r="F105" s="18">
        <v>8074365175</v>
      </c>
      <c r="G105" s="18" t="s">
        <v>545</v>
      </c>
      <c r="H105" s="69"/>
      <c r="I105" s="123"/>
    </row>
    <row r="106" spans="2:9" ht="17.25" customHeight="1">
      <c r="B106" s="290">
        <v>49</v>
      </c>
      <c r="C106" s="79">
        <v>31092</v>
      </c>
      <c r="D106" s="389" t="s">
        <v>553</v>
      </c>
      <c r="E106" s="290" t="s">
        <v>62</v>
      </c>
      <c r="F106" s="291">
        <v>6305864234</v>
      </c>
      <c r="G106" s="292">
        <v>45898</v>
      </c>
      <c r="H106" s="390"/>
      <c r="I106" s="391">
        <v>45964</v>
      </c>
    </row>
    <row r="107" spans="2:9" ht="17.25" customHeight="1">
      <c r="B107" s="5">
        <v>50</v>
      </c>
      <c r="C107" s="306">
        <v>31097</v>
      </c>
      <c r="D107" s="368" t="s">
        <v>552</v>
      </c>
      <c r="E107" s="5" t="s">
        <v>62</v>
      </c>
      <c r="F107" s="18">
        <v>6303002424</v>
      </c>
      <c r="G107" s="17">
        <v>45901</v>
      </c>
      <c r="H107" s="69"/>
      <c r="I107" s="123"/>
    </row>
    <row r="108" spans="2:9" ht="18" customHeight="1">
      <c r="B108" s="24"/>
      <c r="C108" s="366"/>
      <c r="D108" s="369"/>
      <c r="E108" s="24"/>
      <c r="F108" s="26"/>
      <c r="G108" s="27"/>
    </row>
    <row r="109" spans="2:9" ht="18" customHeight="1">
      <c r="B109" s="24"/>
      <c r="C109" s="366"/>
      <c r="D109" s="367"/>
      <c r="E109" s="24"/>
      <c r="F109" s="26"/>
      <c r="G109" s="26"/>
    </row>
    <row r="111" spans="2:9" ht="20.100000000000001" customHeight="1">
      <c r="B111" s="39" t="s">
        <v>323</v>
      </c>
      <c r="C111" s="40"/>
      <c r="D111" s="39"/>
      <c r="E111" s="40"/>
      <c r="F111" s="40"/>
      <c r="G111" s="26"/>
    </row>
    <row r="112" spans="2:9" ht="20.100000000000001" customHeight="1">
      <c r="B112" s="247">
        <v>1</v>
      </c>
      <c r="C112" s="248">
        <v>2646</v>
      </c>
      <c r="D112" s="249" t="s">
        <v>245</v>
      </c>
      <c r="E112" s="248" t="s">
        <v>267</v>
      </c>
      <c r="F112" s="247">
        <v>6300035358</v>
      </c>
      <c r="G112" s="250">
        <v>45253</v>
      </c>
    </row>
    <row r="113" spans="2:7" ht="20.100000000000001" customHeight="1">
      <c r="B113" s="247">
        <v>2</v>
      </c>
      <c r="C113" s="248">
        <v>2686</v>
      </c>
      <c r="D113" s="249" t="s">
        <v>268</v>
      </c>
      <c r="E113" s="248" t="s">
        <v>267</v>
      </c>
      <c r="F113" s="247">
        <v>8247346900</v>
      </c>
      <c r="G113" s="250">
        <v>45282</v>
      </c>
    </row>
    <row r="114" spans="2:7" ht="20.100000000000001" customHeight="1">
      <c r="B114" s="247">
        <v>3</v>
      </c>
      <c r="C114" s="248">
        <v>2852</v>
      </c>
      <c r="D114" s="249" t="s">
        <v>205</v>
      </c>
      <c r="E114" s="248" t="s">
        <v>147</v>
      </c>
      <c r="F114" s="247">
        <v>7981683088</v>
      </c>
      <c r="G114" s="250">
        <v>45513</v>
      </c>
    </row>
    <row r="115" spans="2:7" ht="20.100000000000001" customHeight="1">
      <c r="B115" s="247">
        <v>4</v>
      </c>
      <c r="C115" s="248">
        <v>2862</v>
      </c>
      <c r="D115" s="249" t="s">
        <v>206</v>
      </c>
      <c r="E115" s="248" t="s">
        <v>147</v>
      </c>
      <c r="F115" s="247">
        <v>9966109473</v>
      </c>
      <c r="G115" s="251" t="s">
        <v>410</v>
      </c>
    </row>
    <row r="116" spans="2:7" ht="20.100000000000001" customHeight="1">
      <c r="B116" s="247">
        <v>5</v>
      </c>
      <c r="C116" s="248">
        <v>2932</v>
      </c>
      <c r="D116" s="249" t="s">
        <v>207</v>
      </c>
      <c r="E116" s="248" t="s">
        <v>147</v>
      </c>
      <c r="F116" s="247">
        <v>7672052900</v>
      </c>
      <c r="G116" s="250">
        <v>45597</v>
      </c>
    </row>
    <row r="117" spans="2:7" ht="20.100000000000001" customHeight="1">
      <c r="B117" s="247">
        <v>6</v>
      </c>
      <c r="C117" s="248">
        <v>2935</v>
      </c>
      <c r="D117" s="249" t="s">
        <v>208</v>
      </c>
      <c r="E117" s="248" t="s">
        <v>147</v>
      </c>
      <c r="F117" s="247">
        <v>9948686959</v>
      </c>
      <c r="G117" s="250">
        <v>45600</v>
      </c>
    </row>
    <row r="118" spans="2:7" ht="20.100000000000001" customHeight="1">
      <c r="B118" s="247">
        <v>7</v>
      </c>
      <c r="C118" s="248">
        <v>2940</v>
      </c>
      <c r="D118" s="249" t="s">
        <v>209</v>
      </c>
      <c r="E118" s="248" t="s">
        <v>147</v>
      </c>
      <c r="F118" s="247">
        <v>7799595004</v>
      </c>
      <c r="G118" s="250">
        <v>45610</v>
      </c>
    </row>
    <row r="119" spans="2:7" ht="20.100000000000001" customHeight="1">
      <c r="B119" s="247">
        <v>8</v>
      </c>
      <c r="C119" s="248">
        <v>2952</v>
      </c>
      <c r="D119" s="252" t="s">
        <v>210</v>
      </c>
      <c r="E119" s="248" t="s">
        <v>147</v>
      </c>
      <c r="F119" s="247">
        <v>6302946907</v>
      </c>
      <c r="G119" s="251" t="s">
        <v>411</v>
      </c>
    </row>
    <row r="120" spans="2:7" ht="20.100000000000001" customHeight="1">
      <c r="B120" s="247">
        <v>9</v>
      </c>
      <c r="C120" s="248">
        <v>3023</v>
      </c>
      <c r="D120" s="252" t="s">
        <v>211</v>
      </c>
      <c r="E120" s="248" t="s">
        <v>147</v>
      </c>
      <c r="F120" s="247">
        <v>9182194446</v>
      </c>
      <c r="G120" s="253">
        <v>45726</v>
      </c>
    </row>
    <row r="121" spans="2:7" ht="20.100000000000001" customHeight="1">
      <c r="B121" s="247">
        <v>10</v>
      </c>
      <c r="C121" s="247">
        <v>3032</v>
      </c>
      <c r="D121" s="252" t="s">
        <v>470</v>
      </c>
      <c r="E121" s="248" t="s">
        <v>147</v>
      </c>
      <c r="F121" s="251">
        <v>8341287184</v>
      </c>
      <c r="G121" s="251" t="s">
        <v>412</v>
      </c>
    </row>
    <row r="122" spans="2:7" ht="20.100000000000001" customHeight="1">
      <c r="B122" s="247">
        <v>11</v>
      </c>
      <c r="C122" s="247">
        <v>3033</v>
      </c>
      <c r="D122" s="252" t="s">
        <v>471</v>
      </c>
      <c r="E122" s="248" t="s">
        <v>147</v>
      </c>
      <c r="F122" s="251">
        <v>9569464941</v>
      </c>
      <c r="G122" s="251" t="s">
        <v>413</v>
      </c>
    </row>
    <row r="123" spans="2:7" ht="20.100000000000001" customHeight="1">
      <c r="B123" s="247">
        <v>12</v>
      </c>
      <c r="C123" s="247">
        <v>3128</v>
      </c>
      <c r="D123" s="252" t="s">
        <v>472</v>
      </c>
      <c r="E123" s="248" t="s">
        <v>147</v>
      </c>
      <c r="F123" s="251">
        <v>9492426713</v>
      </c>
      <c r="G123" s="251" t="s">
        <v>473</v>
      </c>
    </row>
    <row r="124" spans="2:7" ht="20.100000000000001" customHeight="1">
      <c r="B124" s="56">
        <v>13</v>
      </c>
      <c r="C124" s="53">
        <v>3133</v>
      </c>
      <c r="D124" s="263" t="s">
        <v>474</v>
      </c>
      <c r="E124" s="248" t="s">
        <v>147</v>
      </c>
      <c r="F124" s="56">
        <v>7013885810</v>
      </c>
      <c r="G124" s="378">
        <v>45853</v>
      </c>
    </row>
    <row r="125" spans="2:7" ht="20.100000000000001" customHeight="1">
      <c r="B125" s="247">
        <v>14</v>
      </c>
      <c r="C125" s="76">
        <v>3202</v>
      </c>
      <c r="D125" s="69" t="s">
        <v>555</v>
      </c>
      <c r="E125" s="248" t="s">
        <v>147</v>
      </c>
      <c r="F125" s="123" t="s">
        <v>554</v>
      </c>
    </row>
    <row r="126" spans="2:7" ht="27" customHeight="1">
      <c r="B126" s="256"/>
      <c r="C126" s="65"/>
      <c r="D126" s="256"/>
      <c r="E126" s="256"/>
      <c r="F126" s="256"/>
      <c r="G126" s="254"/>
    </row>
    <row r="127" spans="2:7" ht="20.100000000000001" customHeight="1">
      <c r="B127" s="529"/>
      <c r="C127" s="529"/>
      <c r="D127" s="529"/>
      <c r="E127" s="529"/>
      <c r="F127" s="529"/>
      <c r="G127" s="254"/>
    </row>
    <row r="128" spans="2:7" ht="20.100000000000001" customHeight="1">
      <c r="B128" s="53">
        <v>1</v>
      </c>
      <c r="C128" s="53">
        <v>629</v>
      </c>
      <c r="D128" s="54" t="s">
        <v>248</v>
      </c>
      <c r="E128" s="53" t="s">
        <v>270</v>
      </c>
      <c r="F128" s="53">
        <v>9502200265</v>
      </c>
      <c r="G128" s="254"/>
    </row>
    <row r="129" spans="2:7" ht="20.100000000000001" customHeight="1">
      <c r="B129" s="53">
        <v>2</v>
      </c>
      <c r="C129" s="53">
        <v>3178</v>
      </c>
      <c r="D129" s="54" t="s">
        <v>529</v>
      </c>
      <c r="E129" s="53" t="s">
        <v>530</v>
      </c>
      <c r="F129" s="53" t="s">
        <v>531</v>
      </c>
      <c r="G129" s="254"/>
    </row>
    <row r="130" spans="2:7" ht="20.100000000000001" customHeight="1">
      <c r="B130" s="53">
        <v>3</v>
      </c>
      <c r="C130" s="53">
        <v>2613</v>
      </c>
      <c r="D130" s="54" t="s">
        <v>272</v>
      </c>
      <c r="E130" s="56" t="s">
        <v>251</v>
      </c>
      <c r="F130" s="53">
        <v>9573912337</v>
      </c>
      <c r="G130" s="26"/>
    </row>
    <row r="131" spans="2:7" ht="20.100000000000001" customHeight="1">
      <c r="B131" s="53">
        <v>4</v>
      </c>
      <c r="C131" s="53">
        <v>2700</v>
      </c>
      <c r="D131" s="54" t="s">
        <v>273</v>
      </c>
      <c r="E131" s="53" t="s">
        <v>251</v>
      </c>
      <c r="F131" s="53">
        <v>7416390127</v>
      </c>
      <c r="G131" s="26"/>
    </row>
    <row r="132" spans="2:7" ht="20.100000000000001" customHeight="1">
      <c r="B132" s="53">
        <v>5</v>
      </c>
      <c r="C132" s="53">
        <v>2996</v>
      </c>
      <c r="D132" s="54" t="s">
        <v>346</v>
      </c>
      <c r="E132" s="53" t="s">
        <v>251</v>
      </c>
      <c r="F132" s="53">
        <v>8142888477</v>
      </c>
      <c r="G132" s="26"/>
    </row>
    <row r="133" spans="2:7" ht="20.100000000000001" customHeight="1">
      <c r="B133" s="25"/>
      <c r="C133" s="24"/>
      <c r="D133" s="25"/>
      <c r="E133" s="26"/>
      <c r="F133" s="26"/>
      <c r="G133" s="26"/>
    </row>
    <row r="134" spans="2:7" ht="20.100000000000001" customHeight="1">
      <c r="B134" s="25"/>
      <c r="C134" s="24"/>
      <c r="F134" s="26"/>
      <c r="G134" s="26"/>
    </row>
    <row r="135" spans="2:7" ht="20.100000000000001" customHeight="1">
      <c r="B135" s="25"/>
      <c r="C135" s="24"/>
      <c r="F135" s="26"/>
      <c r="G135" s="26"/>
    </row>
    <row r="136" spans="2:7" ht="20.100000000000001" customHeight="1">
      <c r="B136" s="25"/>
      <c r="C136" s="24"/>
      <c r="F136" s="26"/>
      <c r="G136" s="1"/>
    </row>
    <row r="137" spans="2:7" ht="20.100000000000001" customHeight="1">
      <c r="B137" s="25"/>
      <c r="C137" s="24"/>
      <c r="F137" s="26"/>
      <c r="G137" s="26"/>
    </row>
    <row r="138" spans="2:7" ht="20.100000000000001" customHeight="1">
      <c r="B138" s="25"/>
      <c r="C138" s="24"/>
      <c r="F138" s="26"/>
      <c r="G138" s="26"/>
    </row>
    <row r="139" spans="2:7" ht="20.100000000000001" customHeight="1">
      <c r="B139" s="25"/>
      <c r="C139" s="24"/>
      <c r="F139" s="26"/>
      <c r="G139" s="26"/>
    </row>
    <row r="140" spans="2:7" ht="20.100000000000001" customHeight="1">
      <c r="B140" s="25"/>
      <c r="C140" s="24"/>
      <c r="F140" s="26"/>
      <c r="G140" s="26"/>
    </row>
    <row r="141" spans="2:7" ht="20.100000000000001" customHeight="1">
      <c r="B141" s="25"/>
      <c r="C141" s="24"/>
      <c r="F141" s="26"/>
      <c r="G141" s="26"/>
    </row>
    <row r="142" spans="2:7" ht="20.100000000000001" customHeight="1">
      <c r="B142" s="25"/>
      <c r="C142" s="24"/>
      <c r="F142" s="26"/>
      <c r="G142" s="26"/>
    </row>
    <row r="143" spans="2:7" ht="20.100000000000001" customHeight="1">
      <c r="C143" s="170"/>
      <c r="E143" s="1"/>
      <c r="G143" s="1"/>
    </row>
  </sheetData>
  <mergeCells count="7">
    <mergeCell ref="B127:F127"/>
    <mergeCell ref="B1:I1"/>
    <mergeCell ref="B2:I2"/>
    <mergeCell ref="B3:I3"/>
    <mergeCell ref="B55:H55"/>
    <mergeCell ref="I55:I56"/>
    <mergeCell ref="B56:F56"/>
  </mergeCells>
  <conditionalFormatting sqref="C20:C21">
    <cfRule type="duplicateValues" dxfId="11" priority="1"/>
  </conditionalFormatting>
  <conditionalFormatting sqref="C28:C29">
    <cfRule type="duplicateValues" dxfId="10" priority="2"/>
  </conditionalFormatting>
  <pageMargins left="0.70866141732283472" right="0.70866141732283472" top="0.39370078740157483" bottom="0.39370078740157483" header="0.31496062992125984" footer="0.31496062992125984"/>
  <pageSetup paperSize="9"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25"/>
  <sheetViews>
    <sheetView topLeftCell="A72" zoomScale="120" zoomScaleNormal="120" workbookViewId="0">
      <selection activeCell="G54" sqref="G54"/>
    </sheetView>
  </sheetViews>
  <sheetFormatPr defaultRowHeight="15"/>
  <cols>
    <col min="1" max="1" width="6" style="370" bestFit="1" customWidth="1"/>
    <col min="2" max="2" width="9.33203125" style="370" customWidth="1"/>
    <col min="3" max="3" width="29" style="370" customWidth="1"/>
    <col min="4" max="4" width="29.33203125" customWidth="1"/>
    <col min="5" max="5" width="14" customWidth="1"/>
    <col min="6" max="6" width="13" bestFit="1" customWidth="1"/>
    <col min="7" max="7" width="11.6640625" customWidth="1"/>
    <col min="8" max="8" width="9.109375" customWidth="1"/>
    <col min="9" max="9" width="11.109375" customWidth="1"/>
  </cols>
  <sheetData>
    <row r="1" spans="1:7" ht="15" customHeight="1">
      <c r="A1" s="558" t="s">
        <v>47</v>
      </c>
      <c r="B1" s="558"/>
      <c r="C1" s="558"/>
      <c r="D1" s="558"/>
      <c r="E1" s="558"/>
      <c r="F1" s="558"/>
      <c r="G1" s="558"/>
    </row>
    <row r="2" spans="1:7" ht="15" customHeight="1">
      <c r="A2" s="558" t="s">
        <v>274</v>
      </c>
      <c r="B2" s="558"/>
      <c r="C2" s="558"/>
      <c r="D2" s="558"/>
      <c r="E2" s="558"/>
      <c r="F2" s="558"/>
      <c r="G2" s="558"/>
    </row>
    <row r="3" spans="1:7" ht="15" customHeight="1">
      <c r="A3" s="522" t="s">
        <v>418</v>
      </c>
      <c r="B3" s="522"/>
      <c r="C3" s="522"/>
      <c r="D3" s="522"/>
      <c r="E3" s="522"/>
      <c r="F3" s="522"/>
      <c r="G3" s="522"/>
    </row>
    <row r="4" spans="1:7" ht="15" customHeight="1">
      <c r="A4" s="257"/>
      <c r="B4" s="257"/>
      <c r="C4" s="257"/>
      <c r="D4" s="257"/>
      <c r="E4" s="257"/>
      <c r="F4" s="276"/>
      <c r="G4" s="258"/>
    </row>
    <row r="5" spans="1:7" ht="15" customHeight="1">
      <c r="A5" s="2" t="s">
        <v>1</v>
      </c>
      <c r="B5" s="2" t="s">
        <v>216</v>
      </c>
      <c r="C5" s="2" t="s">
        <v>3</v>
      </c>
      <c r="D5" s="2" t="s">
        <v>4</v>
      </c>
      <c r="E5" s="2" t="s">
        <v>8</v>
      </c>
      <c r="F5" s="3" t="s">
        <v>394</v>
      </c>
      <c r="G5" s="4" t="s">
        <v>551</v>
      </c>
    </row>
    <row r="6" spans="1:7" ht="29.25" customHeight="1">
      <c r="A6" s="5">
        <v>1</v>
      </c>
      <c r="B6" s="5">
        <v>1251</v>
      </c>
      <c r="C6" s="6" t="s">
        <v>9</v>
      </c>
      <c r="D6" s="7" t="s">
        <v>560</v>
      </c>
      <c r="E6" s="7">
        <v>9840850744</v>
      </c>
      <c r="F6" s="8">
        <v>42387</v>
      </c>
      <c r="G6" s="89">
        <f t="shared" ref="G6:G25" ca="1" si="0">DATEDIF(F6,TODAY(),"y")</f>
        <v>10</v>
      </c>
    </row>
    <row r="7" spans="1:7" ht="15" customHeight="1">
      <c r="A7" s="5">
        <v>2</v>
      </c>
      <c r="B7" s="5">
        <v>308</v>
      </c>
      <c r="C7" s="6" t="s">
        <v>299</v>
      </c>
      <c r="D7" s="7" t="s">
        <v>19</v>
      </c>
      <c r="E7" s="7">
        <v>9908823834</v>
      </c>
      <c r="F7" s="8">
        <v>39259</v>
      </c>
      <c r="G7" s="89">
        <f t="shared" ca="1" si="0"/>
        <v>18</v>
      </c>
    </row>
    <row r="8" spans="1:7" ht="15" customHeight="1">
      <c r="A8" s="5">
        <v>3</v>
      </c>
      <c r="B8" s="5">
        <v>1182</v>
      </c>
      <c r="C8" s="9" t="s">
        <v>26</v>
      </c>
      <c r="D8" s="10" t="s">
        <v>396</v>
      </c>
      <c r="E8" s="7">
        <v>9676354404</v>
      </c>
      <c r="F8" s="11">
        <v>42193</v>
      </c>
      <c r="G8" s="89">
        <f t="shared" ca="1" si="0"/>
        <v>10</v>
      </c>
    </row>
    <row r="9" spans="1:7" ht="15" customHeight="1">
      <c r="A9" s="5">
        <v>4</v>
      </c>
      <c r="B9" s="5">
        <v>2827</v>
      </c>
      <c r="C9" s="14" t="s">
        <v>279</v>
      </c>
      <c r="D9" s="10" t="s">
        <v>19</v>
      </c>
      <c r="E9" s="7">
        <v>8085575111</v>
      </c>
      <c r="F9" s="13">
        <v>45495</v>
      </c>
      <c r="G9" s="89">
        <f t="shared" ca="1" si="0"/>
        <v>1</v>
      </c>
    </row>
    <row r="10" spans="1:7" ht="15" customHeight="1">
      <c r="A10" s="5">
        <v>5</v>
      </c>
      <c r="B10" s="5">
        <v>523</v>
      </c>
      <c r="C10" s="12" t="s">
        <v>382</v>
      </c>
      <c r="D10" s="10" t="s">
        <v>180</v>
      </c>
      <c r="E10" s="5">
        <v>9441536410</v>
      </c>
      <c r="F10" s="13"/>
      <c r="G10" s="89"/>
    </row>
    <row r="11" spans="1:7" ht="15" customHeight="1">
      <c r="A11" s="5">
        <v>6</v>
      </c>
      <c r="B11" s="5">
        <v>312</v>
      </c>
      <c r="C11" s="6" t="s">
        <v>42</v>
      </c>
      <c r="D11" s="15" t="s">
        <v>180</v>
      </c>
      <c r="E11" s="7">
        <v>8297208489</v>
      </c>
      <c r="F11" s="11">
        <v>40206</v>
      </c>
      <c r="G11" s="89">
        <f t="shared" ca="1" si="0"/>
        <v>16</v>
      </c>
    </row>
    <row r="12" spans="1:7" ht="15" customHeight="1">
      <c r="A12" s="5">
        <v>7</v>
      </c>
      <c r="B12" s="5">
        <v>2090</v>
      </c>
      <c r="C12" s="16" t="s">
        <v>33</v>
      </c>
      <c r="D12" s="10" t="s">
        <v>180</v>
      </c>
      <c r="E12" s="7">
        <v>9441540580</v>
      </c>
      <c r="F12" s="11">
        <v>44107</v>
      </c>
      <c r="G12" s="89">
        <f t="shared" ca="1" si="0"/>
        <v>5</v>
      </c>
    </row>
    <row r="13" spans="1:7" ht="15" customHeight="1">
      <c r="A13" s="5">
        <v>8</v>
      </c>
      <c r="B13" s="5">
        <v>540</v>
      </c>
      <c r="C13" s="6" t="s">
        <v>378</v>
      </c>
      <c r="D13" s="10" t="s">
        <v>180</v>
      </c>
      <c r="E13" s="7">
        <v>9550367172</v>
      </c>
      <c r="F13" s="11"/>
      <c r="G13" s="89"/>
    </row>
    <row r="14" spans="1:7" ht="15" customHeight="1">
      <c r="A14" s="5">
        <v>9</v>
      </c>
      <c r="B14" s="5">
        <v>2490</v>
      </c>
      <c r="C14" s="14" t="s">
        <v>83</v>
      </c>
      <c r="D14" s="7" t="s">
        <v>157</v>
      </c>
      <c r="E14" s="5">
        <v>9848129660</v>
      </c>
      <c r="F14" s="17">
        <v>45084</v>
      </c>
      <c r="G14" s="89">
        <f t="shared" ca="1" si="0"/>
        <v>2</v>
      </c>
    </row>
    <row r="15" spans="1:7" ht="15" customHeight="1">
      <c r="A15" s="5">
        <v>10</v>
      </c>
      <c r="B15" s="5">
        <v>2499</v>
      </c>
      <c r="C15" s="12" t="s">
        <v>221</v>
      </c>
      <c r="D15" s="7" t="s">
        <v>157</v>
      </c>
      <c r="E15" s="5">
        <v>9994476533</v>
      </c>
      <c r="F15" s="13">
        <v>45103</v>
      </c>
      <c r="G15" s="89">
        <f t="shared" ca="1" si="0"/>
        <v>2</v>
      </c>
    </row>
    <row r="16" spans="1:7" ht="15" customHeight="1">
      <c r="A16" s="5">
        <v>11</v>
      </c>
      <c r="B16" s="5">
        <v>2501</v>
      </c>
      <c r="C16" s="14" t="s">
        <v>101</v>
      </c>
      <c r="D16" s="7" t="s">
        <v>157</v>
      </c>
      <c r="E16" s="5">
        <v>9848052474</v>
      </c>
      <c r="F16" s="13">
        <v>45103</v>
      </c>
      <c r="G16" s="89">
        <f t="shared" ca="1" si="0"/>
        <v>2</v>
      </c>
    </row>
    <row r="17" spans="1:7" ht="15" customHeight="1">
      <c r="A17" s="5">
        <v>12</v>
      </c>
      <c r="B17" s="5">
        <v>2541</v>
      </c>
      <c r="C17" s="16" t="s">
        <v>127</v>
      </c>
      <c r="D17" s="7" t="s">
        <v>157</v>
      </c>
      <c r="E17" s="5">
        <v>7981738522</v>
      </c>
      <c r="F17" s="17">
        <v>45139</v>
      </c>
      <c r="G17" s="89">
        <f t="shared" ca="1" si="0"/>
        <v>2</v>
      </c>
    </row>
    <row r="18" spans="1:7" ht="15" customHeight="1">
      <c r="A18" s="5">
        <v>13</v>
      </c>
      <c r="B18" s="10">
        <v>2689</v>
      </c>
      <c r="C18" s="9" t="s">
        <v>154</v>
      </c>
      <c r="D18" s="7" t="s">
        <v>157</v>
      </c>
      <c r="E18" s="18">
        <v>7006157037</v>
      </c>
      <c r="F18" s="17">
        <v>45289</v>
      </c>
      <c r="G18" s="89">
        <f t="shared" ca="1" si="0"/>
        <v>2</v>
      </c>
    </row>
    <row r="19" spans="1:7" ht="15" customHeight="1">
      <c r="A19" s="5">
        <v>14</v>
      </c>
      <c r="B19" s="5">
        <v>2947</v>
      </c>
      <c r="C19" s="12" t="s">
        <v>204</v>
      </c>
      <c r="D19" s="7" t="s">
        <v>157</v>
      </c>
      <c r="E19" s="5">
        <v>9032045840</v>
      </c>
      <c r="F19" s="17">
        <v>45632</v>
      </c>
      <c r="G19" s="89">
        <f t="shared" ca="1" si="0"/>
        <v>1</v>
      </c>
    </row>
    <row r="20" spans="1:7" ht="15" customHeight="1">
      <c r="A20" s="5">
        <v>15</v>
      </c>
      <c r="B20" s="19" t="s">
        <v>397</v>
      </c>
      <c r="C20" s="9" t="s">
        <v>67</v>
      </c>
      <c r="D20" s="10" t="s">
        <v>68</v>
      </c>
      <c r="E20" s="5">
        <v>9614547390</v>
      </c>
      <c r="F20" s="11">
        <v>45014</v>
      </c>
      <c r="G20" s="89">
        <f t="shared" ca="1" si="0"/>
        <v>3</v>
      </c>
    </row>
    <row r="21" spans="1:7" ht="15" customHeight="1">
      <c r="A21" s="5">
        <v>16</v>
      </c>
      <c r="B21" s="5">
        <v>2454</v>
      </c>
      <c r="C21" s="16" t="s">
        <v>318</v>
      </c>
      <c r="D21" s="10" t="s">
        <v>68</v>
      </c>
      <c r="E21" s="5">
        <v>7729990303</v>
      </c>
      <c r="F21" s="11">
        <v>45047</v>
      </c>
      <c r="G21" s="89">
        <f t="shared" ca="1" si="0"/>
        <v>2</v>
      </c>
    </row>
    <row r="22" spans="1:7" ht="15" customHeight="1">
      <c r="A22" s="5">
        <v>17</v>
      </c>
      <c r="B22" s="5">
        <v>2502</v>
      </c>
      <c r="C22" s="14" t="s">
        <v>359</v>
      </c>
      <c r="D22" s="10" t="s">
        <v>68</v>
      </c>
      <c r="E22" s="5">
        <v>9600605782</v>
      </c>
      <c r="F22" s="13">
        <v>45105</v>
      </c>
      <c r="G22" s="89">
        <f t="shared" ca="1" si="0"/>
        <v>2</v>
      </c>
    </row>
    <row r="23" spans="1:7" ht="15" customHeight="1">
      <c r="A23" s="5">
        <v>18</v>
      </c>
      <c r="B23" s="5">
        <v>2514</v>
      </c>
      <c r="C23" s="14" t="s">
        <v>113</v>
      </c>
      <c r="D23" s="10" t="s">
        <v>68</v>
      </c>
      <c r="E23" s="5">
        <v>9500312191</v>
      </c>
      <c r="F23" s="13">
        <v>45117</v>
      </c>
      <c r="G23" s="89">
        <f t="shared" ca="1" si="0"/>
        <v>2</v>
      </c>
    </row>
    <row r="24" spans="1:7" ht="15" customHeight="1">
      <c r="A24" s="5">
        <v>19</v>
      </c>
      <c r="B24" s="5">
        <v>2519</v>
      </c>
      <c r="C24" s="14" t="s">
        <v>120</v>
      </c>
      <c r="D24" s="10" t="s">
        <v>68</v>
      </c>
      <c r="E24" s="10">
        <v>8978116834</v>
      </c>
      <c r="F24" s="17">
        <v>45121</v>
      </c>
      <c r="G24" s="89">
        <f t="shared" ca="1" si="0"/>
        <v>2</v>
      </c>
    </row>
    <row r="25" spans="1:7" ht="15" customHeight="1">
      <c r="A25" s="5">
        <v>20</v>
      </c>
      <c r="B25" s="5">
        <v>2934</v>
      </c>
      <c r="C25" s="12" t="s">
        <v>193</v>
      </c>
      <c r="D25" s="10" t="s">
        <v>68</v>
      </c>
      <c r="E25" s="18">
        <v>9440664462</v>
      </c>
      <c r="F25" s="17">
        <v>45600</v>
      </c>
      <c r="G25" s="89">
        <f t="shared" ca="1" si="0"/>
        <v>1</v>
      </c>
    </row>
    <row r="26" spans="1:7" ht="15" customHeight="1">
      <c r="A26" s="5">
        <v>21</v>
      </c>
      <c r="B26" s="5">
        <v>3080</v>
      </c>
      <c r="C26" s="12" t="s">
        <v>398</v>
      </c>
      <c r="D26" s="10" t="s">
        <v>68</v>
      </c>
      <c r="E26" s="18">
        <v>6300921477</v>
      </c>
      <c r="F26" s="17" t="s">
        <v>399</v>
      </c>
      <c r="G26" s="89">
        <v>0</v>
      </c>
    </row>
    <row r="27" spans="1:7" ht="15" customHeight="1">
      <c r="A27" s="5">
        <v>22</v>
      </c>
      <c r="B27" s="237" t="s">
        <v>420</v>
      </c>
      <c r="C27" s="12" t="s">
        <v>415</v>
      </c>
      <c r="D27" s="10" t="s">
        <v>68</v>
      </c>
      <c r="E27" s="18">
        <v>9492688417</v>
      </c>
      <c r="F27" s="17" t="s">
        <v>421</v>
      </c>
      <c r="G27" s="89">
        <v>0</v>
      </c>
    </row>
    <row r="28" spans="1:7" ht="15" customHeight="1">
      <c r="A28" s="5">
        <v>23</v>
      </c>
      <c r="B28" s="5">
        <v>1181</v>
      </c>
      <c r="C28" s="9" t="s">
        <v>55</v>
      </c>
      <c r="D28" s="10" t="s">
        <v>68</v>
      </c>
      <c r="E28" s="7">
        <v>9493670612</v>
      </c>
      <c r="F28" s="11">
        <v>42193</v>
      </c>
      <c r="G28" s="89">
        <f t="shared" ref="G28:G36" ca="1" si="1">DATEDIF(F28,TODAY(),"y")</f>
        <v>10</v>
      </c>
    </row>
    <row r="29" spans="1:7" ht="15" customHeight="1">
      <c r="A29" s="5">
        <v>24</v>
      </c>
      <c r="B29" s="5">
        <v>1243</v>
      </c>
      <c r="C29" s="9" t="s">
        <v>58</v>
      </c>
      <c r="D29" s="10" t="s">
        <v>68</v>
      </c>
      <c r="E29" s="7">
        <v>8790166779</v>
      </c>
      <c r="F29" s="11">
        <v>42354</v>
      </c>
      <c r="G29" s="89">
        <f t="shared" ca="1" si="1"/>
        <v>10</v>
      </c>
    </row>
    <row r="30" spans="1:7" ht="15" customHeight="1">
      <c r="A30" s="5">
        <v>25</v>
      </c>
      <c r="B30" s="5">
        <v>2432</v>
      </c>
      <c r="C30" s="16" t="s">
        <v>280</v>
      </c>
      <c r="D30" s="10" t="s">
        <v>68</v>
      </c>
      <c r="E30" s="5">
        <v>7093243607</v>
      </c>
      <c r="F30" s="13">
        <v>44982</v>
      </c>
      <c r="G30" s="89">
        <f t="shared" ca="1" si="1"/>
        <v>3</v>
      </c>
    </row>
    <row r="31" spans="1:7" ht="15" customHeight="1">
      <c r="A31" s="5">
        <v>26</v>
      </c>
      <c r="B31" s="5">
        <v>2728</v>
      </c>
      <c r="C31" s="14" t="s">
        <v>384</v>
      </c>
      <c r="D31" s="290" t="s">
        <v>558</v>
      </c>
      <c r="E31" s="5">
        <v>7981960066</v>
      </c>
      <c r="F31" s="13">
        <v>45385</v>
      </c>
      <c r="G31" s="89">
        <f t="shared" ca="1" si="1"/>
        <v>2</v>
      </c>
    </row>
    <row r="32" spans="1:7" ht="15" customHeight="1">
      <c r="A32" s="5">
        <v>27</v>
      </c>
      <c r="B32" s="5">
        <v>2765</v>
      </c>
      <c r="C32" s="16" t="s">
        <v>168</v>
      </c>
      <c r="D32" s="10" t="s">
        <v>68</v>
      </c>
      <c r="E32" s="5">
        <v>9788682940</v>
      </c>
      <c r="F32" s="17">
        <v>45453</v>
      </c>
      <c r="G32" s="89">
        <f t="shared" ca="1" si="1"/>
        <v>1</v>
      </c>
    </row>
    <row r="33" spans="1:7" ht="15" customHeight="1">
      <c r="A33" s="5">
        <v>28</v>
      </c>
      <c r="B33" s="5">
        <v>2512</v>
      </c>
      <c r="C33" s="16" t="s">
        <v>189</v>
      </c>
      <c r="D33" s="10" t="s">
        <v>68</v>
      </c>
      <c r="E33" s="5">
        <v>9292709507</v>
      </c>
      <c r="F33" s="23">
        <v>45117</v>
      </c>
      <c r="G33" s="89">
        <f t="shared" ca="1" si="1"/>
        <v>2</v>
      </c>
    </row>
    <row r="34" spans="1:7" ht="15" customHeight="1">
      <c r="A34" s="5">
        <v>29</v>
      </c>
      <c r="B34" s="5">
        <v>2898</v>
      </c>
      <c r="C34" s="12" t="s">
        <v>190</v>
      </c>
      <c r="D34" s="10" t="s">
        <v>68</v>
      </c>
      <c r="E34" s="5">
        <v>9989895732</v>
      </c>
      <c r="F34" s="17">
        <v>45531</v>
      </c>
      <c r="G34" s="89">
        <f t="shared" ca="1" si="1"/>
        <v>1</v>
      </c>
    </row>
    <row r="35" spans="1:7" ht="15" customHeight="1">
      <c r="A35" s="5">
        <v>30</v>
      </c>
      <c r="B35" s="5">
        <v>2965</v>
      </c>
      <c r="C35" s="12" t="s">
        <v>365</v>
      </c>
      <c r="D35" s="290" t="s">
        <v>558</v>
      </c>
      <c r="E35" s="18">
        <v>9642674547</v>
      </c>
      <c r="F35" s="17">
        <v>45663</v>
      </c>
      <c r="G35" s="89">
        <f t="shared" ca="1" si="1"/>
        <v>1</v>
      </c>
    </row>
    <row r="36" spans="1:7" ht="15" customHeight="1">
      <c r="A36" s="5">
        <v>31</v>
      </c>
      <c r="B36" s="5">
        <v>3038</v>
      </c>
      <c r="C36" s="12" t="s">
        <v>385</v>
      </c>
      <c r="D36" s="290" t="s">
        <v>558</v>
      </c>
      <c r="E36" s="18">
        <v>8330983764</v>
      </c>
      <c r="F36" s="17">
        <v>45742</v>
      </c>
      <c r="G36" s="89">
        <f t="shared" ca="1" si="1"/>
        <v>1</v>
      </c>
    </row>
    <row r="37" spans="1:7" ht="15" customHeight="1">
      <c r="A37" s="5">
        <v>32</v>
      </c>
      <c r="B37" s="5">
        <v>3073</v>
      </c>
      <c r="C37" s="12" t="s">
        <v>400</v>
      </c>
      <c r="D37" s="5" t="s">
        <v>68</v>
      </c>
      <c r="E37" s="18">
        <v>9885657789</v>
      </c>
      <c r="F37" s="18" t="s">
        <v>401</v>
      </c>
      <c r="G37" s="89">
        <v>0</v>
      </c>
    </row>
    <row r="38" spans="1:7" ht="15" customHeight="1">
      <c r="A38" s="5">
        <v>33</v>
      </c>
      <c r="B38" s="5">
        <v>3081</v>
      </c>
      <c r="C38" s="12" t="s">
        <v>419</v>
      </c>
      <c r="D38" s="5" t="s">
        <v>68</v>
      </c>
      <c r="E38" s="18">
        <v>7338323477</v>
      </c>
      <c r="F38" s="18" t="s">
        <v>403</v>
      </c>
      <c r="G38" s="89">
        <v>0</v>
      </c>
    </row>
    <row r="39" spans="1:7" ht="15" customHeight="1">
      <c r="A39" s="5">
        <v>34</v>
      </c>
      <c r="B39" s="5">
        <v>3084</v>
      </c>
      <c r="C39" s="12" t="s">
        <v>404</v>
      </c>
      <c r="D39" s="290" t="s">
        <v>558</v>
      </c>
      <c r="E39" s="18">
        <v>9492617314</v>
      </c>
      <c r="F39" s="18" t="s">
        <v>405</v>
      </c>
      <c r="G39" s="89">
        <v>0</v>
      </c>
    </row>
    <row r="40" spans="1:7" ht="15" customHeight="1">
      <c r="A40" s="5">
        <v>35</v>
      </c>
      <c r="B40" s="5">
        <v>2921</v>
      </c>
      <c r="C40" s="12" t="s">
        <v>364</v>
      </c>
      <c r="D40" s="10" t="s">
        <v>192</v>
      </c>
      <c r="E40" s="18">
        <v>9014766760</v>
      </c>
      <c r="F40" s="17">
        <v>45580</v>
      </c>
      <c r="G40" s="89">
        <f t="shared" ref="G40:G50" ca="1" si="2">DATEDIF(F40,TODAY(),"y")</f>
        <v>1</v>
      </c>
    </row>
    <row r="41" spans="1:7" ht="15" customHeight="1">
      <c r="A41" s="5">
        <v>36</v>
      </c>
      <c r="B41" s="76">
        <v>3089</v>
      </c>
      <c r="C41" s="69" t="s">
        <v>416</v>
      </c>
      <c r="D41" s="123" t="s">
        <v>417</v>
      </c>
      <c r="E41" s="123">
        <v>8790242128</v>
      </c>
      <c r="F41" s="96">
        <v>45826</v>
      </c>
      <c r="G41" s="89">
        <f t="shared" ca="1" si="2"/>
        <v>0</v>
      </c>
    </row>
    <row r="42" spans="1:7" ht="15" customHeight="1">
      <c r="A42" s="5">
        <v>37</v>
      </c>
      <c r="B42" s="5">
        <v>3129</v>
      </c>
      <c r="C42" s="12" t="s">
        <v>422</v>
      </c>
      <c r="D42" s="5" t="s">
        <v>68</v>
      </c>
      <c r="E42" s="18">
        <v>9491432819</v>
      </c>
      <c r="F42" s="17">
        <v>45845</v>
      </c>
      <c r="G42" s="89">
        <f t="shared" ca="1" si="2"/>
        <v>0</v>
      </c>
    </row>
    <row r="43" spans="1:7" ht="15" customHeight="1">
      <c r="A43" s="5">
        <v>38</v>
      </c>
      <c r="B43" s="5">
        <v>3205</v>
      </c>
      <c r="C43" s="12" t="s">
        <v>556</v>
      </c>
      <c r="D43" s="5" t="s">
        <v>68</v>
      </c>
      <c r="E43" s="18">
        <v>9494841792</v>
      </c>
      <c r="F43" s="17"/>
      <c r="G43" s="89"/>
    </row>
    <row r="44" spans="1:7" ht="15" customHeight="1">
      <c r="A44" s="5">
        <v>39</v>
      </c>
      <c r="B44" s="76">
        <v>31128</v>
      </c>
      <c r="C44" s="326" t="s">
        <v>436</v>
      </c>
      <c r="D44" s="388" t="s">
        <v>417</v>
      </c>
      <c r="E44" s="5">
        <v>8341347612</v>
      </c>
      <c r="F44" s="17"/>
      <c r="G44" s="89"/>
    </row>
    <row r="45" spans="1:7" ht="15" customHeight="1">
      <c r="A45" s="5">
        <v>40</v>
      </c>
      <c r="B45" s="5">
        <v>2936</v>
      </c>
      <c r="C45" s="12" t="s">
        <v>197</v>
      </c>
      <c r="D45" s="10" t="s">
        <v>198</v>
      </c>
      <c r="E45" s="18">
        <v>8125544167</v>
      </c>
      <c r="F45" s="17">
        <v>45600</v>
      </c>
      <c r="G45" s="89">
        <f t="shared" ca="1" si="2"/>
        <v>1</v>
      </c>
    </row>
    <row r="46" spans="1:7" ht="15" customHeight="1">
      <c r="A46" s="5">
        <v>41</v>
      </c>
      <c r="B46" s="5">
        <v>2950</v>
      </c>
      <c r="C46" s="12" t="s">
        <v>390</v>
      </c>
      <c r="D46" s="10" t="s">
        <v>198</v>
      </c>
      <c r="E46" s="5">
        <v>9000024070</v>
      </c>
      <c r="F46" s="17">
        <v>45638</v>
      </c>
      <c r="G46" s="89">
        <f t="shared" ca="1" si="2"/>
        <v>1</v>
      </c>
    </row>
    <row r="47" spans="1:7" ht="15" customHeight="1">
      <c r="A47" s="5">
        <v>42</v>
      </c>
      <c r="B47" s="5">
        <v>633</v>
      </c>
      <c r="C47" s="16" t="s">
        <v>305</v>
      </c>
      <c r="D47" s="5" t="s">
        <v>320</v>
      </c>
      <c r="E47" s="5">
        <v>9494678628</v>
      </c>
      <c r="F47" s="13">
        <v>40380</v>
      </c>
      <c r="G47" s="89">
        <f t="shared" ca="1" si="2"/>
        <v>15</v>
      </c>
    </row>
    <row r="48" spans="1:7" ht="15" customHeight="1">
      <c r="A48" s="5">
        <v>43</v>
      </c>
      <c r="B48" s="5">
        <v>2285</v>
      </c>
      <c r="C48" s="16" t="s">
        <v>306</v>
      </c>
      <c r="D48" s="5" t="s">
        <v>321</v>
      </c>
      <c r="E48" s="5">
        <v>9640066261</v>
      </c>
      <c r="F48" s="13">
        <v>44718</v>
      </c>
      <c r="G48" s="89">
        <f t="shared" ca="1" si="2"/>
        <v>3</v>
      </c>
    </row>
    <row r="49" spans="1:11" ht="15" customHeight="1">
      <c r="A49" s="5">
        <v>44</v>
      </c>
      <c r="B49" s="5">
        <v>2925</v>
      </c>
      <c r="C49" s="12" t="s">
        <v>369</v>
      </c>
      <c r="D49" s="5" t="s">
        <v>62</v>
      </c>
      <c r="E49" s="18">
        <v>7995794652</v>
      </c>
      <c r="F49" s="293">
        <v>45582</v>
      </c>
      <c r="G49" s="89">
        <f t="shared" ca="1" si="2"/>
        <v>1</v>
      </c>
    </row>
    <row r="50" spans="1:11" ht="15" customHeight="1">
      <c r="A50" s="5">
        <v>45</v>
      </c>
      <c r="B50" s="5">
        <v>3052</v>
      </c>
      <c r="C50" s="12" t="s">
        <v>202</v>
      </c>
      <c r="D50" s="5" t="s">
        <v>372</v>
      </c>
      <c r="E50" s="18">
        <v>7331142998</v>
      </c>
      <c r="F50" s="17">
        <v>45778</v>
      </c>
      <c r="G50" s="89">
        <f t="shared" ca="1" si="2"/>
        <v>0</v>
      </c>
    </row>
    <row r="51" spans="1:11" ht="14.4">
      <c r="A51" s="371"/>
      <c r="B51" s="372"/>
      <c r="C51" s="373"/>
      <c r="D51" s="372"/>
      <c r="E51" s="374"/>
      <c r="F51" s="375"/>
      <c r="G51" s="376"/>
    </row>
    <row r="52" spans="1:11" s="395" customFormat="1" ht="15" customHeight="1">
      <c r="A52" s="306">
        <v>46</v>
      </c>
      <c r="B52" s="306">
        <v>30410</v>
      </c>
      <c r="C52" s="394" t="s">
        <v>408</v>
      </c>
      <c r="D52" s="306" t="s">
        <v>228</v>
      </c>
      <c r="E52" s="306">
        <v>7995622962</v>
      </c>
      <c r="F52" s="433">
        <v>44928</v>
      </c>
      <c r="G52" s="434"/>
      <c r="J52" s="575"/>
      <c r="K52" s="575"/>
    </row>
    <row r="53" spans="1:11" s="395" customFormat="1" ht="15" customHeight="1">
      <c r="A53" s="306">
        <v>47</v>
      </c>
      <c r="B53" s="306">
        <v>30744</v>
      </c>
      <c r="C53" s="394" t="s">
        <v>308</v>
      </c>
      <c r="D53" s="306" t="s">
        <v>309</v>
      </c>
      <c r="E53" s="306">
        <v>8790500801</v>
      </c>
      <c r="F53" s="356">
        <v>45071</v>
      </c>
      <c r="G53" s="434"/>
      <c r="J53" s="435" t="s">
        <v>253</v>
      </c>
      <c r="K53" s="435">
        <v>47</v>
      </c>
    </row>
    <row r="54" spans="1:11" s="395" customFormat="1" ht="22.5" customHeight="1">
      <c r="A54" s="306">
        <v>46</v>
      </c>
      <c r="B54" s="306">
        <v>31143</v>
      </c>
      <c r="C54" s="436" t="s">
        <v>575</v>
      </c>
      <c r="D54" s="306" t="s">
        <v>228</v>
      </c>
      <c r="E54" s="306">
        <v>9381279468</v>
      </c>
      <c r="F54" s="437"/>
      <c r="G54" s="438" t="s">
        <v>576</v>
      </c>
      <c r="J54" s="435" t="s">
        <v>234</v>
      </c>
      <c r="K54" s="435">
        <v>42</v>
      </c>
    </row>
    <row r="55" spans="1:11" s="395" customFormat="1" ht="14.4">
      <c r="A55" s="578" t="s">
        <v>47</v>
      </c>
      <c r="B55" s="578"/>
      <c r="C55" s="578"/>
      <c r="D55" s="578"/>
      <c r="E55" s="578"/>
      <c r="F55" s="437"/>
      <c r="J55" s="435"/>
      <c r="K55" s="435"/>
    </row>
    <row r="56" spans="1:11" s="395" customFormat="1" ht="14.4">
      <c r="A56" s="578" t="s">
        <v>274</v>
      </c>
      <c r="B56" s="578"/>
      <c r="C56" s="578"/>
      <c r="D56" s="578"/>
      <c r="E56" s="578"/>
      <c r="F56" s="437"/>
      <c r="J56" s="435"/>
      <c r="K56" s="435"/>
    </row>
    <row r="57" spans="1:11" s="395" customFormat="1" ht="17.399999999999999">
      <c r="A57" s="576" t="s">
        <v>559</v>
      </c>
      <c r="B57" s="576"/>
      <c r="C57" s="576"/>
      <c r="D57" s="576"/>
      <c r="E57" s="576"/>
      <c r="F57" s="577"/>
      <c r="G57" s="577"/>
      <c r="J57" s="435" t="s">
        <v>561</v>
      </c>
      <c r="K57" s="435">
        <v>13</v>
      </c>
    </row>
    <row r="58" spans="1:11" ht="23.25" customHeight="1">
      <c r="A58" s="572"/>
      <c r="B58" s="573"/>
      <c r="C58" s="573"/>
      <c r="D58" s="573"/>
      <c r="E58" s="574"/>
      <c r="F58" s="377"/>
      <c r="G58" s="377"/>
      <c r="J58" s="170" t="s">
        <v>562</v>
      </c>
      <c r="K58" s="170">
        <v>5</v>
      </c>
    </row>
    <row r="59" spans="1:11" ht="27.6">
      <c r="A59" s="259" t="s">
        <v>557</v>
      </c>
      <c r="B59" s="259" t="s">
        <v>285</v>
      </c>
      <c r="C59" s="259" t="s">
        <v>446</v>
      </c>
      <c r="D59" s="259" t="s">
        <v>4</v>
      </c>
      <c r="E59" s="2" t="s">
        <v>8</v>
      </c>
      <c r="F59" s="3" t="s">
        <v>394</v>
      </c>
      <c r="G59" s="4" t="s">
        <v>395</v>
      </c>
      <c r="J59" s="170" t="s">
        <v>563</v>
      </c>
      <c r="K59" s="170">
        <v>107</v>
      </c>
    </row>
    <row r="60" spans="1:11" s="106" customFormat="1" ht="14.4">
      <c r="A60" s="5">
        <v>1</v>
      </c>
      <c r="B60" s="306">
        <v>30904</v>
      </c>
      <c r="C60" s="14" t="s">
        <v>406</v>
      </c>
      <c r="D60" s="5" t="s">
        <v>62</v>
      </c>
      <c r="E60" s="5">
        <v>8688928251</v>
      </c>
      <c r="F60" s="13">
        <v>45817</v>
      </c>
      <c r="G60" s="4"/>
    </row>
    <row r="61" spans="1:11" s="106" customFormat="1" ht="14.4">
      <c r="A61" s="5">
        <v>2</v>
      </c>
      <c r="B61" s="306">
        <v>30917</v>
      </c>
      <c r="C61" s="14" t="s">
        <v>424</v>
      </c>
      <c r="D61" s="5" t="s">
        <v>62</v>
      </c>
      <c r="E61" s="5">
        <v>7075775397</v>
      </c>
      <c r="F61" s="13">
        <v>45831</v>
      </c>
      <c r="G61" s="101"/>
    </row>
    <row r="62" spans="1:11" s="106" customFormat="1" ht="14.4">
      <c r="A62" s="5">
        <v>3</v>
      </c>
      <c r="B62" s="306">
        <v>30934</v>
      </c>
      <c r="C62" s="14" t="s">
        <v>426</v>
      </c>
      <c r="D62" s="5" t="s">
        <v>62</v>
      </c>
      <c r="E62" s="5">
        <v>7569374895</v>
      </c>
      <c r="F62" s="13">
        <v>45834</v>
      </c>
      <c r="G62" s="101"/>
    </row>
    <row r="63" spans="1:11" s="106" customFormat="1" ht="14.4">
      <c r="A63" s="5">
        <v>4</v>
      </c>
      <c r="B63" s="306">
        <v>30936</v>
      </c>
      <c r="C63" s="14" t="s">
        <v>427</v>
      </c>
      <c r="D63" s="5" t="s">
        <v>62</v>
      </c>
      <c r="E63" s="5">
        <v>8639469394</v>
      </c>
      <c r="F63" s="13">
        <v>45834</v>
      </c>
      <c r="G63" s="101"/>
    </row>
    <row r="64" spans="1:11" s="106" customFormat="1" ht="14.4">
      <c r="A64" s="5">
        <v>5</v>
      </c>
      <c r="B64" s="306">
        <v>30940</v>
      </c>
      <c r="C64" s="14" t="s">
        <v>428</v>
      </c>
      <c r="D64" s="5" t="s">
        <v>62</v>
      </c>
      <c r="E64" s="5">
        <v>9573979580</v>
      </c>
      <c r="F64" s="13">
        <v>45834</v>
      </c>
      <c r="G64" s="101"/>
    </row>
    <row r="65" spans="1:7" s="106" customFormat="1" ht="14.4">
      <c r="A65" s="5">
        <v>6</v>
      </c>
      <c r="B65" s="299">
        <v>30945</v>
      </c>
      <c r="C65" s="408" t="s">
        <v>430</v>
      </c>
      <c r="D65" s="299" t="s">
        <v>62</v>
      </c>
      <c r="E65" s="299">
        <v>6304016136</v>
      </c>
      <c r="F65" s="409">
        <v>45835</v>
      </c>
      <c r="G65" s="440">
        <v>45981</v>
      </c>
    </row>
    <row r="66" spans="1:7" s="106" customFormat="1" ht="14.4">
      <c r="A66" s="5">
        <v>7</v>
      </c>
      <c r="B66" s="306">
        <v>30948</v>
      </c>
      <c r="C66" s="14" t="s">
        <v>431</v>
      </c>
      <c r="D66" s="5" t="s">
        <v>62</v>
      </c>
      <c r="E66" s="5">
        <v>8978224170</v>
      </c>
      <c r="F66" s="13">
        <v>45838</v>
      </c>
      <c r="G66" s="101"/>
    </row>
    <row r="67" spans="1:7" s="106" customFormat="1" ht="14.4">
      <c r="A67" s="5">
        <v>8</v>
      </c>
      <c r="B67" s="306">
        <v>30951</v>
      </c>
      <c r="C67" s="14" t="s">
        <v>434</v>
      </c>
      <c r="D67" s="5" t="s">
        <v>62</v>
      </c>
      <c r="E67" s="5">
        <v>9398268887</v>
      </c>
      <c r="F67" s="13">
        <v>45838</v>
      </c>
      <c r="G67" s="101"/>
    </row>
    <row r="68" spans="1:7" s="106" customFormat="1" ht="14.4">
      <c r="A68" s="5">
        <v>9</v>
      </c>
      <c r="B68" s="306">
        <v>30955</v>
      </c>
      <c r="C68" s="14" t="s">
        <v>437</v>
      </c>
      <c r="D68" s="5" t="s">
        <v>62</v>
      </c>
      <c r="E68" s="5">
        <v>6281270604</v>
      </c>
      <c r="F68" s="13">
        <v>45840</v>
      </c>
      <c r="G68" s="101"/>
    </row>
    <row r="69" spans="1:7" s="106" customFormat="1">
      <c r="A69" s="5">
        <v>10</v>
      </c>
      <c r="B69" s="307">
        <v>30958</v>
      </c>
      <c r="C69" s="55" t="s">
        <v>438</v>
      </c>
      <c r="D69" s="5" t="s">
        <v>62</v>
      </c>
      <c r="E69" s="5">
        <v>8074663963</v>
      </c>
      <c r="F69" s="13">
        <v>45842</v>
      </c>
      <c r="G69" s="101"/>
    </row>
    <row r="70" spans="1:7" s="106" customFormat="1" ht="14.4">
      <c r="A70" s="5">
        <v>11</v>
      </c>
      <c r="B70" s="306">
        <v>30960</v>
      </c>
      <c r="C70" s="14" t="s">
        <v>439</v>
      </c>
      <c r="D70" s="5" t="s">
        <v>62</v>
      </c>
      <c r="E70" s="5">
        <v>9381847839</v>
      </c>
      <c r="F70" s="13">
        <v>45842</v>
      </c>
      <c r="G70" s="101"/>
    </row>
    <row r="71" spans="1:7" s="106" customFormat="1" ht="14.4">
      <c r="A71" s="5">
        <v>12</v>
      </c>
      <c r="B71" s="306">
        <v>30961</v>
      </c>
      <c r="C71" s="14" t="s">
        <v>440</v>
      </c>
      <c r="D71" s="5" t="s">
        <v>62</v>
      </c>
      <c r="E71" s="5">
        <v>6300368240</v>
      </c>
      <c r="F71" s="13">
        <v>45843</v>
      </c>
      <c r="G71" s="101"/>
    </row>
    <row r="72" spans="1:7" s="106" customFormat="1" ht="14.4">
      <c r="A72" s="290">
        <v>13</v>
      </c>
      <c r="B72" s="299">
        <v>30962</v>
      </c>
      <c r="C72" s="408" t="s">
        <v>447</v>
      </c>
      <c r="D72" s="299" t="s">
        <v>62</v>
      </c>
      <c r="E72" s="299">
        <v>9392954135</v>
      </c>
      <c r="F72" s="409">
        <v>45845</v>
      </c>
      <c r="G72" s="207" t="s">
        <v>568</v>
      </c>
    </row>
    <row r="73" spans="1:7" s="106" customFormat="1" ht="14.4">
      <c r="A73" s="5">
        <v>14</v>
      </c>
      <c r="B73" s="306">
        <v>30964</v>
      </c>
      <c r="C73" s="14" t="s">
        <v>448</v>
      </c>
      <c r="D73" s="5" t="s">
        <v>62</v>
      </c>
      <c r="E73" s="5">
        <v>9515172678</v>
      </c>
      <c r="F73" s="13" t="s">
        <v>449</v>
      </c>
      <c r="G73" s="101"/>
    </row>
    <row r="74" spans="1:7" s="106" customFormat="1" ht="14.4">
      <c r="A74" s="290">
        <v>15</v>
      </c>
      <c r="B74" s="299">
        <v>30966</v>
      </c>
      <c r="C74" s="408" t="s">
        <v>450</v>
      </c>
      <c r="D74" s="299" t="s">
        <v>62</v>
      </c>
      <c r="E74" s="299">
        <v>9866896657</v>
      </c>
      <c r="F74" s="409" t="s">
        <v>451</v>
      </c>
      <c r="G74" s="397" t="s">
        <v>564</v>
      </c>
    </row>
    <row r="75" spans="1:7" s="106" customFormat="1" ht="14.4">
      <c r="A75" s="290">
        <v>16</v>
      </c>
      <c r="B75" s="410">
        <v>30967</v>
      </c>
      <c r="C75" s="411" t="s">
        <v>452</v>
      </c>
      <c r="D75" s="410" t="s">
        <v>62</v>
      </c>
      <c r="E75" s="410">
        <v>7396362838</v>
      </c>
      <c r="F75" s="409" t="s">
        <v>451</v>
      </c>
      <c r="G75" s="397" t="s">
        <v>564</v>
      </c>
    </row>
    <row r="76" spans="1:7" s="106" customFormat="1" ht="14.4">
      <c r="A76" s="5">
        <v>17</v>
      </c>
      <c r="B76" s="306">
        <v>30969</v>
      </c>
      <c r="C76" s="16" t="s">
        <v>453</v>
      </c>
      <c r="D76" s="5" t="s">
        <v>62</v>
      </c>
      <c r="E76" s="5">
        <v>8247017365</v>
      </c>
      <c r="F76" s="13" t="s">
        <v>454</v>
      </c>
      <c r="G76" s="101"/>
    </row>
    <row r="77" spans="1:7" s="106" customFormat="1" ht="14.4">
      <c r="A77" s="5">
        <v>18</v>
      </c>
      <c r="B77" s="306">
        <v>30970</v>
      </c>
      <c r="C77" s="16" t="s">
        <v>455</v>
      </c>
      <c r="D77" s="5" t="s">
        <v>62</v>
      </c>
      <c r="E77" s="5">
        <v>8125869185</v>
      </c>
      <c r="F77" s="13" t="s">
        <v>454</v>
      </c>
      <c r="G77" s="101"/>
    </row>
    <row r="78" spans="1:7" s="106" customFormat="1" ht="14.4">
      <c r="A78" s="5">
        <v>19</v>
      </c>
      <c r="B78" s="306">
        <v>30971</v>
      </c>
      <c r="C78" s="16" t="s">
        <v>456</v>
      </c>
      <c r="D78" s="5" t="s">
        <v>62</v>
      </c>
      <c r="E78" s="10">
        <v>9000393290</v>
      </c>
      <c r="F78" s="23">
        <v>45847</v>
      </c>
      <c r="G78" s="260"/>
    </row>
    <row r="79" spans="1:7" s="106" customFormat="1" ht="14.4">
      <c r="A79" s="5">
        <v>20</v>
      </c>
      <c r="B79" s="306">
        <v>30981</v>
      </c>
      <c r="C79" s="16" t="s">
        <v>458</v>
      </c>
      <c r="D79" s="5" t="s">
        <v>62</v>
      </c>
      <c r="E79" s="5">
        <v>7382713002</v>
      </c>
      <c r="F79" s="13" t="s">
        <v>459</v>
      </c>
      <c r="G79" s="76"/>
    </row>
    <row r="80" spans="1:7" s="106" customFormat="1" ht="14.4">
      <c r="A80" s="5">
        <v>21</v>
      </c>
      <c r="B80" s="306">
        <v>30989</v>
      </c>
      <c r="C80" s="16" t="s">
        <v>464</v>
      </c>
      <c r="D80" s="5" t="s">
        <v>62</v>
      </c>
      <c r="E80" s="5">
        <v>7995627385</v>
      </c>
      <c r="F80" s="13" t="s">
        <v>463</v>
      </c>
      <c r="G80" s="101"/>
    </row>
    <row r="81" spans="1:7" s="106" customFormat="1" ht="14.4">
      <c r="A81" s="5">
        <v>22</v>
      </c>
      <c r="B81" s="306">
        <v>30997</v>
      </c>
      <c r="C81" s="16" t="s">
        <v>468</v>
      </c>
      <c r="D81" s="5" t="s">
        <v>62</v>
      </c>
      <c r="E81" s="5">
        <v>7013229574</v>
      </c>
      <c r="F81" s="13" t="s">
        <v>469</v>
      </c>
      <c r="G81" s="101"/>
    </row>
    <row r="82" spans="1:7" s="106" customFormat="1" ht="15.6">
      <c r="A82" s="5">
        <v>23</v>
      </c>
      <c r="B82" s="308">
        <v>30999</v>
      </c>
      <c r="C82" s="382" t="s">
        <v>518</v>
      </c>
      <c r="D82" s="5" t="s">
        <v>62</v>
      </c>
      <c r="E82" s="5">
        <v>9121426349</v>
      </c>
      <c r="F82" s="13"/>
      <c r="G82" s="101"/>
    </row>
    <row r="83" spans="1:7" s="106" customFormat="1" ht="14.4">
      <c r="A83" s="5">
        <v>24</v>
      </c>
      <c r="B83" s="306">
        <v>31006</v>
      </c>
      <c r="C83" s="16" t="s">
        <v>513</v>
      </c>
      <c r="D83" s="5" t="s">
        <v>62</v>
      </c>
      <c r="E83" s="5">
        <v>8125924512</v>
      </c>
      <c r="F83" s="62">
        <v>45864</v>
      </c>
      <c r="G83" s="101"/>
    </row>
    <row r="84" spans="1:7" s="106" customFormat="1" ht="14.4">
      <c r="A84" s="5">
        <v>25</v>
      </c>
      <c r="B84" s="306">
        <v>31007</v>
      </c>
      <c r="C84" s="16" t="s">
        <v>516</v>
      </c>
      <c r="D84" s="5" t="s">
        <v>62</v>
      </c>
      <c r="E84" s="5">
        <v>8074825238</v>
      </c>
      <c r="F84" s="62">
        <v>45864</v>
      </c>
      <c r="G84" s="101"/>
    </row>
    <row r="85" spans="1:7" s="106" customFormat="1" ht="14.4">
      <c r="A85" s="5">
        <v>26</v>
      </c>
      <c r="B85" s="306">
        <v>31008</v>
      </c>
      <c r="C85" s="16" t="s">
        <v>510</v>
      </c>
      <c r="D85" s="5" t="s">
        <v>62</v>
      </c>
      <c r="E85" s="5">
        <v>7416250259</v>
      </c>
      <c r="F85" s="62">
        <v>45864</v>
      </c>
      <c r="G85" s="101"/>
    </row>
    <row r="86" spans="1:7" s="106" customFormat="1" ht="14.4">
      <c r="A86" s="5">
        <v>27</v>
      </c>
      <c r="B86" s="306">
        <v>31009</v>
      </c>
      <c r="C86" s="16" t="s">
        <v>511</v>
      </c>
      <c r="D86" s="5" t="s">
        <v>62</v>
      </c>
      <c r="E86" s="5">
        <v>9652560279</v>
      </c>
      <c r="F86" s="62">
        <v>45864</v>
      </c>
      <c r="G86" s="101"/>
    </row>
    <row r="87" spans="1:7" s="106" customFormat="1" ht="14.4">
      <c r="A87" s="5">
        <v>28</v>
      </c>
      <c r="B87" s="306">
        <v>31010</v>
      </c>
      <c r="C87" s="16" t="s">
        <v>515</v>
      </c>
      <c r="D87" s="5" t="s">
        <v>62</v>
      </c>
      <c r="E87" s="5">
        <v>6303868693</v>
      </c>
      <c r="F87" s="62">
        <v>45866</v>
      </c>
      <c r="G87" s="101"/>
    </row>
    <row r="88" spans="1:7" s="106" customFormat="1" ht="14.4">
      <c r="A88" s="5">
        <v>29</v>
      </c>
      <c r="B88" s="309">
        <v>31011</v>
      </c>
      <c r="C88" s="101" t="s">
        <v>514</v>
      </c>
      <c r="D88" s="5" t="s">
        <v>62</v>
      </c>
      <c r="E88" s="5">
        <v>7901533265</v>
      </c>
      <c r="F88" s="62">
        <v>45866</v>
      </c>
      <c r="G88" s="383"/>
    </row>
    <row r="89" spans="1:7" s="106" customFormat="1" ht="14.4">
      <c r="A89" s="5">
        <v>30</v>
      </c>
      <c r="B89" s="306">
        <v>31014</v>
      </c>
      <c r="C89" s="16" t="s">
        <v>509</v>
      </c>
      <c r="D89" s="5" t="s">
        <v>62</v>
      </c>
      <c r="E89" s="5">
        <v>7601073553</v>
      </c>
      <c r="F89" s="13"/>
      <c r="G89" s="101"/>
    </row>
    <row r="90" spans="1:7" s="106" customFormat="1" ht="14.4">
      <c r="A90" s="5">
        <v>31</v>
      </c>
      <c r="B90" s="306">
        <v>31016</v>
      </c>
      <c r="C90" s="16" t="s">
        <v>508</v>
      </c>
      <c r="D90" s="5" t="s">
        <v>62</v>
      </c>
      <c r="E90" s="5">
        <v>9125941185</v>
      </c>
      <c r="F90" s="62">
        <v>45867</v>
      </c>
      <c r="G90" s="101"/>
    </row>
    <row r="91" spans="1:7" s="106" customFormat="1" ht="14.4">
      <c r="A91" s="5">
        <v>32</v>
      </c>
      <c r="B91" s="306">
        <v>31018</v>
      </c>
      <c r="C91" s="384" t="s">
        <v>517</v>
      </c>
      <c r="D91" s="5" t="s">
        <v>62</v>
      </c>
      <c r="E91" s="76">
        <v>8309517227</v>
      </c>
      <c r="F91" s="62">
        <v>45869</v>
      </c>
      <c r="G91" s="101"/>
    </row>
    <row r="92" spans="1:7" s="106" customFormat="1" ht="14.4">
      <c r="A92" s="5">
        <v>33</v>
      </c>
      <c r="B92" s="302">
        <v>31052</v>
      </c>
      <c r="C92" s="439" t="s">
        <v>523</v>
      </c>
      <c r="D92" s="299" t="s">
        <v>62</v>
      </c>
      <c r="E92" s="299">
        <v>9346781019</v>
      </c>
      <c r="F92" s="409"/>
      <c r="G92" s="440">
        <v>45981</v>
      </c>
    </row>
    <row r="93" spans="1:7" s="106" customFormat="1" ht="14.4">
      <c r="A93" s="5">
        <v>34</v>
      </c>
      <c r="B93" s="306">
        <v>31055</v>
      </c>
      <c r="C93" s="9" t="s">
        <v>521</v>
      </c>
      <c r="D93" s="5" t="s">
        <v>62</v>
      </c>
      <c r="E93" s="5">
        <v>9505237020</v>
      </c>
      <c r="F93" s="13"/>
      <c r="G93" s="101"/>
    </row>
    <row r="94" spans="1:7" s="106" customFormat="1" ht="14.4">
      <c r="A94" s="5">
        <v>35</v>
      </c>
      <c r="B94" s="306">
        <v>31056</v>
      </c>
      <c r="C94" s="16" t="s">
        <v>524</v>
      </c>
      <c r="D94" s="5" t="s">
        <v>62</v>
      </c>
      <c r="E94" s="5">
        <v>9390166821</v>
      </c>
      <c r="F94" s="13">
        <v>45880</v>
      </c>
      <c r="G94" s="101"/>
    </row>
    <row r="95" spans="1:7" s="106" customFormat="1" ht="15.6">
      <c r="A95" s="5">
        <v>36</v>
      </c>
      <c r="B95" s="306">
        <v>31058</v>
      </c>
      <c r="C95" s="368" t="s">
        <v>528</v>
      </c>
      <c r="D95" s="5" t="s">
        <v>62</v>
      </c>
      <c r="E95" s="5">
        <v>9550763660</v>
      </c>
      <c r="F95" s="101"/>
      <c r="G95" s="101"/>
    </row>
    <row r="96" spans="1:7" s="106" customFormat="1" ht="15.6">
      <c r="A96" s="5">
        <v>37</v>
      </c>
      <c r="B96" s="385">
        <v>31070</v>
      </c>
      <c r="C96" s="368" t="s">
        <v>548</v>
      </c>
      <c r="D96" s="5" t="s">
        <v>62</v>
      </c>
      <c r="E96" s="5">
        <v>9030272655</v>
      </c>
      <c r="F96" s="101"/>
      <c r="G96" s="101"/>
    </row>
    <row r="97" spans="1:7" s="106" customFormat="1" ht="15.6">
      <c r="A97" s="5">
        <v>38</v>
      </c>
      <c r="B97" s="306">
        <v>31071</v>
      </c>
      <c r="C97" s="368" t="s">
        <v>549</v>
      </c>
      <c r="D97" s="5" t="s">
        <v>62</v>
      </c>
      <c r="E97" s="5">
        <v>8019998514</v>
      </c>
      <c r="F97" s="101"/>
      <c r="G97" s="101"/>
    </row>
    <row r="98" spans="1:7" s="106" customFormat="1" ht="15.6">
      <c r="A98" s="5">
        <v>39</v>
      </c>
      <c r="B98" s="306">
        <v>31078</v>
      </c>
      <c r="C98" s="368" t="s">
        <v>550</v>
      </c>
      <c r="D98" s="5" t="s">
        <v>62</v>
      </c>
      <c r="E98" s="5">
        <v>6302491536</v>
      </c>
      <c r="F98" s="5"/>
      <c r="G98" s="101"/>
    </row>
    <row r="99" spans="1:7" s="106" customFormat="1" ht="15.6">
      <c r="A99" s="5">
        <v>40</v>
      </c>
      <c r="B99" s="385">
        <v>31082</v>
      </c>
      <c r="C99" s="368" t="s">
        <v>547</v>
      </c>
      <c r="D99" s="5" t="s">
        <v>62</v>
      </c>
      <c r="E99" s="5">
        <v>9848498113</v>
      </c>
      <c r="F99" s="5"/>
      <c r="G99" s="101"/>
    </row>
    <row r="100" spans="1:7" s="106" customFormat="1" ht="15.6">
      <c r="A100" s="5">
        <v>41</v>
      </c>
      <c r="B100" s="306">
        <v>31083</v>
      </c>
      <c r="C100" s="368" t="s">
        <v>546</v>
      </c>
      <c r="D100" s="5" t="s">
        <v>62</v>
      </c>
      <c r="E100" s="5">
        <v>8074365175</v>
      </c>
      <c r="F100" s="5" t="s">
        <v>545</v>
      </c>
      <c r="G100" s="101"/>
    </row>
    <row r="101" spans="1:7" s="106" customFormat="1" ht="15.6">
      <c r="A101" s="5">
        <v>42</v>
      </c>
      <c r="B101" s="306">
        <v>31097</v>
      </c>
      <c r="C101" s="368" t="s">
        <v>552</v>
      </c>
      <c r="D101" s="5" t="s">
        <v>62</v>
      </c>
      <c r="E101" s="5">
        <v>6303002424</v>
      </c>
      <c r="F101" s="13">
        <v>45901</v>
      </c>
      <c r="G101" s="101"/>
    </row>
    <row r="102" spans="1:7" ht="15.6">
      <c r="A102" s="5">
        <v>43</v>
      </c>
      <c r="B102" s="306">
        <v>31133</v>
      </c>
      <c r="C102" s="365" t="s">
        <v>567</v>
      </c>
      <c r="D102" s="5" t="s">
        <v>62</v>
      </c>
      <c r="E102" s="5">
        <v>8341185708</v>
      </c>
      <c r="F102" s="407">
        <v>45955</v>
      </c>
    </row>
    <row r="103" spans="1:7" ht="15.6">
      <c r="A103" s="24"/>
      <c r="B103" s="366"/>
      <c r="C103" s="367"/>
      <c r="D103" s="24"/>
      <c r="E103" s="26"/>
      <c r="F103" s="26"/>
    </row>
    <row r="104" spans="1:7" ht="14.4">
      <c r="A104"/>
      <c r="B104" s="106"/>
      <c r="C104"/>
      <c r="E104" s="1"/>
    </row>
    <row r="105" spans="1:7" ht="14.4">
      <c r="A105" s="39" t="s">
        <v>323</v>
      </c>
      <c r="B105" s="40"/>
      <c r="C105" s="39"/>
      <c r="D105" s="40"/>
      <c r="E105" s="40"/>
      <c r="F105" s="26"/>
    </row>
    <row r="106" spans="1:7" ht="14.4">
      <c r="A106" s="247">
        <v>1</v>
      </c>
      <c r="B106" s="248">
        <v>2646</v>
      </c>
      <c r="C106" s="249" t="s">
        <v>245</v>
      </c>
      <c r="D106" s="248" t="s">
        <v>267</v>
      </c>
      <c r="E106" s="247">
        <v>6300035358</v>
      </c>
      <c r="F106" s="250">
        <v>45253</v>
      </c>
    </row>
    <row r="107" spans="1:7" ht="14.4">
      <c r="A107" s="247">
        <v>2</v>
      </c>
      <c r="B107" s="248">
        <v>2686</v>
      </c>
      <c r="C107" s="249" t="s">
        <v>268</v>
      </c>
      <c r="D107" s="248" t="s">
        <v>267</v>
      </c>
      <c r="E107" s="247">
        <v>8247346900</v>
      </c>
      <c r="F107" s="250">
        <v>45282</v>
      </c>
    </row>
    <row r="108" spans="1:7" ht="14.4">
      <c r="A108" s="247">
        <v>3</v>
      </c>
      <c r="B108" s="248">
        <v>2852</v>
      </c>
      <c r="C108" s="249" t="s">
        <v>205</v>
      </c>
      <c r="D108" s="248" t="s">
        <v>147</v>
      </c>
      <c r="E108" s="247">
        <v>7981683088</v>
      </c>
      <c r="F108" s="250">
        <v>45513</v>
      </c>
    </row>
    <row r="109" spans="1:7" ht="14.4">
      <c r="A109" s="247">
        <v>4</v>
      </c>
      <c r="B109" s="248">
        <v>2932</v>
      </c>
      <c r="C109" s="249" t="s">
        <v>207</v>
      </c>
      <c r="D109" s="248" t="s">
        <v>147</v>
      </c>
      <c r="E109" s="247">
        <v>7672052900</v>
      </c>
      <c r="F109" s="250">
        <v>45597</v>
      </c>
    </row>
    <row r="110" spans="1:7" ht="14.4">
      <c r="A110" s="247">
        <v>5</v>
      </c>
      <c r="B110" s="248">
        <v>2935</v>
      </c>
      <c r="C110" s="249" t="s">
        <v>208</v>
      </c>
      <c r="D110" s="248" t="s">
        <v>147</v>
      </c>
      <c r="E110" s="247">
        <v>9948686959</v>
      </c>
      <c r="F110" s="250">
        <v>45600</v>
      </c>
    </row>
    <row r="111" spans="1:7" ht="14.4">
      <c r="A111" s="247">
        <v>6</v>
      </c>
      <c r="B111" s="248">
        <v>2940</v>
      </c>
      <c r="C111" s="249" t="s">
        <v>209</v>
      </c>
      <c r="D111" s="248" t="s">
        <v>147</v>
      </c>
      <c r="E111" s="247">
        <v>7799595004</v>
      </c>
      <c r="F111" s="250">
        <v>45610</v>
      </c>
    </row>
    <row r="112" spans="1:7" ht="14.4">
      <c r="A112" s="247">
        <v>7</v>
      </c>
      <c r="B112" s="248">
        <v>2952</v>
      </c>
      <c r="C112" s="252" t="s">
        <v>210</v>
      </c>
      <c r="D112" s="248" t="s">
        <v>147</v>
      </c>
      <c r="E112" s="247">
        <v>6302946907</v>
      </c>
      <c r="F112" s="251" t="s">
        <v>411</v>
      </c>
    </row>
    <row r="113" spans="1:6" ht="14.4">
      <c r="A113" s="247">
        <v>8</v>
      </c>
      <c r="B113" s="248">
        <v>3023</v>
      </c>
      <c r="C113" s="252" t="s">
        <v>211</v>
      </c>
      <c r="D113" s="248" t="s">
        <v>147</v>
      </c>
      <c r="E113" s="247">
        <v>9182194446</v>
      </c>
      <c r="F113" s="253">
        <v>45726</v>
      </c>
    </row>
    <row r="114" spans="1:6" ht="14.4">
      <c r="A114" s="247">
        <v>9</v>
      </c>
      <c r="B114" s="247">
        <v>3032</v>
      </c>
      <c r="C114" s="252" t="s">
        <v>470</v>
      </c>
      <c r="D114" s="248" t="s">
        <v>147</v>
      </c>
      <c r="E114" s="251">
        <v>8341287184</v>
      </c>
      <c r="F114" s="251" t="s">
        <v>412</v>
      </c>
    </row>
    <row r="115" spans="1:6" ht="14.4">
      <c r="A115" s="247">
        <v>10</v>
      </c>
      <c r="B115" s="247">
        <v>3033</v>
      </c>
      <c r="C115" s="252" t="s">
        <v>471</v>
      </c>
      <c r="D115" s="248" t="s">
        <v>147</v>
      </c>
      <c r="E115" s="251">
        <v>9569464941</v>
      </c>
      <c r="F115" s="251" t="s">
        <v>413</v>
      </c>
    </row>
    <row r="116" spans="1:6" ht="14.4">
      <c r="A116" s="247">
        <v>11</v>
      </c>
      <c r="B116" s="247">
        <v>3128</v>
      </c>
      <c r="C116" s="252" t="s">
        <v>472</v>
      </c>
      <c r="D116" s="248" t="s">
        <v>147</v>
      </c>
      <c r="E116" s="251">
        <v>9492426713</v>
      </c>
      <c r="F116" s="251" t="s">
        <v>473</v>
      </c>
    </row>
    <row r="117" spans="1:6" ht="15.6">
      <c r="A117" s="247">
        <v>12</v>
      </c>
      <c r="B117" s="53">
        <v>3133</v>
      </c>
      <c r="C117" s="263" t="s">
        <v>474</v>
      </c>
      <c r="D117" s="248" t="s">
        <v>147</v>
      </c>
      <c r="E117" s="56">
        <v>7013885810</v>
      </c>
      <c r="F117" s="378">
        <v>45853</v>
      </c>
    </row>
    <row r="118" spans="1:6" ht="14.4">
      <c r="A118" s="247">
        <v>13</v>
      </c>
      <c r="B118" s="76">
        <v>3202</v>
      </c>
      <c r="C118" s="69" t="s">
        <v>555</v>
      </c>
      <c r="D118" s="248" t="s">
        <v>147</v>
      </c>
      <c r="E118" s="123" t="s">
        <v>554</v>
      </c>
    </row>
    <row r="119" spans="1:6" ht="15.6">
      <c r="A119" s="256"/>
      <c r="B119" s="65"/>
      <c r="C119" s="256"/>
      <c r="D119" s="256"/>
      <c r="E119" s="256"/>
      <c r="F119" s="254"/>
    </row>
    <row r="120" spans="1:6" ht="15.6">
      <c r="A120" s="529"/>
      <c r="B120" s="529"/>
      <c r="C120" s="529"/>
      <c r="D120" s="529"/>
      <c r="E120" s="529"/>
      <c r="F120" s="254"/>
    </row>
    <row r="121" spans="1:6">
      <c r="A121" s="53">
        <v>1</v>
      </c>
      <c r="B121" s="53">
        <v>629</v>
      </c>
      <c r="C121" s="54" t="s">
        <v>248</v>
      </c>
      <c r="D121" s="53" t="s">
        <v>270</v>
      </c>
      <c r="E121" s="53">
        <v>9502200265</v>
      </c>
      <c r="F121" s="254"/>
    </row>
    <row r="122" spans="1:6">
      <c r="A122" s="53">
        <v>2</v>
      </c>
      <c r="B122" s="53">
        <v>3178</v>
      </c>
      <c r="C122" s="54" t="s">
        <v>529</v>
      </c>
      <c r="D122" s="53" t="s">
        <v>530</v>
      </c>
      <c r="E122" s="53" t="s">
        <v>531</v>
      </c>
      <c r="F122" s="254"/>
    </row>
    <row r="123" spans="1:6" ht="15.6">
      <c r="A123" s="53">
        <v>3</v>
      </c>
      <c r="B123" s="53">
        <v>2613</v>
      </c>
      <c r="C123" s="54" t="s">
        <v>272</v>
      </c>
      <c r="D123" s="56" t="s">
        <v>251</v>
      </c>
      <c r="E123" s="53">
        <v>9573912337</v>
      </c>
      <c r="F123" s="26"/>
    </row>
    <row r="124" spans="1:6">
      <c r="A124" s="53">
        <v>4</v>
      </c>
      <c r="B124" s="53">
        <v>2700</v>
      </c>
      <c r="C124" s="54" t="s">
        <v>273</v>
      </c>
      <c r="D124" s="53" t="s">
        <v>251</v>
      </c>
      <c r="E124" s="53">
        <v>7416390127</v>
      </c>
      <c r="F124" s="26"/>
    </row>
    <row r="125" spans="1:6">
      <c r="A125" s="53">
        <v>5</v>
      </c>
      <c r="B125" s="53">
        <v>2996</v>
      </c>
      <c r="C125" s="54" t="s">
        <v>346</v>
      </c>
      <c r="D125" s="53" t="s">
        <v>251</v>
      </c>
      <c r="E125" s="53">
        <v>8142888477</v>
      </c>
      <c r="F125" s="26"/>
    </row>
  </sheetData>
  <mergeCells count="9">
    <mergeCell ref="J52:K52"/>
    <mergeCell ref="A120:E120"/>
    <mergeCell ref="A1:G1"/>
    <mergeCell ref="A2:G2"/>
    <mergeCell ref="A3:G3"/>
    <mergeCell ref="A57:G57"/>
    <mergeCell ref="A58:E58"/>
    <mergeCell ref="A55:E55"/>
    <mergeCell ref="A56:E56"/>
  </mergeCells>
  <conditionalFormatting sqref="B20:B21">
    <cfRule type="duplicateValues" dxfId="9" priority="1"/>
  </conditionalFormatting>
  <conditionalFormatting sqref="B28:B29">
    <cfRule type="duplicateValues" dxfId="8" priority="2"/>
  </conditionalFormatting>
  <pageMargins left="0.39370078740157483" right="0.70866141732283472" top="0.39370078740157483" bottom="0.39370078740157483" header="0.31496062992125984" footer="0.31496062992125984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29"/>
  <sheetViews>
    <sheetView topLeftCell="A67" workbookViewId="0">
      <selection activeCell="B120" sqref="B120:F120"/>
    </sheetView>
  </sheetViews>
  <sheetFormatPr defaultRowHeight="14.4"/>
  <cols>
    <col min="1" max="1" width="9.109375" style="25"/>
    <col min="2" max="2" width="8.88671875" style="25" customWidth="1"/>
    <col min="3" max="3" width="34.44140625" style="25" bestFit="1" customWidth="1"/>
    <col min="4" max="4" width="27" style="25" customWidth="1"/>
    <col min="5" max="5" width="14.88671875" style="25" bestFit="1" customWidth="1"/>
    <col min="6" max="6" width="13" style="26" bestFit="1" customWidth="1"/>
    <col min="7" max="7" width="11.6640625" bestFit="1" customWidth="1"/>
    <col min="8" max="8" width="10.44140625" bestFit="1" customWidth="1"/>
    <col min="10" max="10" width="10.44140625" bestFit="1" customWidth="1"/>
  </cols>
  <sheetData>
    <row r="1" spans="1:7" ht="18" customHeight="1">
      <c r="A1" s="581" t="s">
        <v>47</v>
      </c>
      <c r="B1" s="581"/>
      <c r="C1" s="581"/>
      <c r="D1" s="581"/>
      <c r="E1" s="581"/>
      <c r="F1" s="581"/>
      <c r="G1" s="581"/>
    </row>
    <row r="2" spans="1:7" ht="18" customHeight="1">
      <c r="A2" s="581" t="s">
        <v>274</v>
      </c>
      <c r="B2" s="581"/>
      <c r="C2" s="581"/>
      <c r="D2" s="581"/>
      <c r="E2" s="581"/>
      <c r="F2" s="581"/>
      <c r="G2" s="581"/>
    </row>
    <row r="3" spans="1:7" ht="18" customHeight="1">
      <c r="A3" s="582" t="s">
        <v>565</v>
      </c>
      <c r="B3" s="582"/>
      <c r="C3" s="582"/>
      <c r="D3" s="582"/>
      <c r="E3" s="582"/>
      <c r="F3" s="582"/>
      <c r="G3" s="582"/>
    </row>
    <row r="4" spans="1:7" ht="18" customHeight="1">
      <c r="A4" s="557"/>
      <c r="B4" s="557"/>
      <c r="C4" s="557"/>
      <c r="D4" s="557"/>
      <c r="E4" s="557"/>
      <c r="F4" s="557"/>
      <c r="G4" s="258"/>
    </row>
    <row r="5" spans="1:7" ht="18" customHeight="1">
      <c r="A5" s="2" t="s">
        <v>1</v>
      </c>
      <c r="B5" s="2" t="s">
        <v>216</v>
      </c>
      <c r="C5" s="2" t="s">
        <v>3</v>
      </c>
      <c r="D5" s="2" t="s">
        <v>4</v>
      </c>
      <c r="E5" s="2" t="s">
        <v>8</v>
      </c>
      <c r="F5" s="3" t="s">
        <v>394</v>
      </c>
      <c r="G5" s="421" t="s">
        <v>551</v>
      </c>
    </row>
    <row r="6" spans="1:7" ht="16.5" customHeight="1">
      <c r="A6" s="5">
        <v>1</v>
      </c>
      <c r="B6" s="5">
        <v>1251</v>
      </c>
      <c r="C6" s="6" t="s">
        <v>9</v>
      </c>
      <c r="D6" s="7" t="s">
        <v>560</v>
      </c>
      <c r="E6" s="7">
        <v>9840850744</v>
      </c>
      <c r="F6" s="396">
        <v>42387</v>
      </c>
      <c r="G6" s="426">
        <f t="shared" ref="G6:G25" ca="1" si="0">DATEDIF(F6,TODAY(),"y")</f>
        <v>10</v>
      </c>
    </row>
    <row r="7" spans="1:7" ht="16.5" customHeight="1">
      <c r="A7" s="5">
        <v>2</v>
      </c>
      <c r="B7" s="5">
        <v>308</v>
      </c>
      <c r="C7" s="6" t="s">
        <v>299</v>
      </c>
      <c r="D7" s="7" t="s">
        <v>19</v>
      </c>
      <c r="E7" s="7">
        <v>9908823834</v>
      </c>
      <c r="F7" s="396">
        <v>39259</v>
      </c>
      <c r="G7" s="426">
        <f t="shared" ca="1" si="0"/>
        <v>18</v>
      </c>
    </row>
    <row r="8" spans="1:7" ht="16.5" customHeight="1">
      <c r="A8" s="5">
        <v>3</v>
      </c>
      <c r="B8" s="5">
        <v>1182</v>
      </c>
      <c r="C8" s="9" t="s">
        <v>26</v>
      </c>
      <c r="D8" s="10" t="s">
        <v>396</v>
      </c>
      <c r="E8" s="7">
        <v>9676354404</v>
      </c>
      <c r="F8" s="23">
        <v>42193</v>
      </c>
      <c r="G8" s="426">
        <f t="shared" ca="1" si="0"/>
        <v>10</v>
      </c>
    </row>
    <row r="9" spans="1:7" ht="16.5" customHeight="1">
      <c r="A9" s="5">
        <v>4</v>
      </c>
      <c r="B9" s="5">
        <v>2827</v>
      </c>
      <c r="C9" s="14" t="s">
        <v>279</v>
      </c>
      <c r="D9" s="10" t="s">
        <v>19</v>
      </c>
      <c r="E9" s="7">
        <v>8085575111</v>
      </c>
      <c r="F9" s="13">
        <v>45495</v>
      </c>
      <c r="G9" s="426">
        <f t="shared" ca="1" si="0"/>
        <v>1</v>
      </c>
    </row>
    <row r="10" spans="1:7" ht="16.5" customHeight="1">
      <c r="A10" s="5">
        <v>5</v>
      </c>
      <c r="B10" s="5">
        <v>523</v>
      </c>
      <c r="C10" s="12" t="s">
        <v>382</v>
      </c>
      <c r="D10" s="10" t="s">
        <v>180</v>
      </c>
      <c r="E10" s="5">
        <v>9441536410</v>
      </c>
      <c r="F10" s="17">
        <v>40025</v>
      </c>
      <c r="G10" s="426"/>
    </row>
    <row r="11" spans="1:7" ht="16.5" customHeight="1">
      <c r="A11" s="5">
        <v>6</v>
      </c>
      <c r="B11" s="5">
        <v>312</v>
      </c>
      <c r="C11" s="6" t="s">
        <v>42</v>
      </c>
      <c r="D11" s="15" t="s">
        <v>180</v>
      </c>
      <c r="E11" s="7">
        <v>8297208489</v>
      </c>
      <c r="F11" s="23">
        <v>40206</v>
      </c>
      <c r="G11" s="426">
        <f t="shared" ca="1" si="0"/>
        <v>16</v>
      </c>
    </row>
    <row r="12" spans="1:7" ht="16.5" customHeight="1">
      <c r="A12" s="5">
        <v>7</v>
      </c>
      <c r="B12" s="5">
        <v>2090</v>
      </c>
      <c r="C12" s="16" t="s">
        <v>33</v>
      </c>
      <c r="D12" s="10" t="s">
        <v>180</v>
      </c>
      <c r="E12" s="7">
        <v>9441540580</v>
      </c>
      <c r="F12" s="23">
        <v>44107</v>
      </c>
      <c r="G12" s="426">
        <f t="shared" ca="1" si="0"/>
        <v>5</v>
      </c>
    </row>
    <row r="13" spans="1:7" ht="16.5" customHeight="1">
      <c r="A13" s="5">
        <v>8</v>
      </c>
      <c r="B13" s="5">
        <v>540</v>
      </c>
      <c r="C13" s="6" t="s">
        <v>378</v>
      </c>
      <c r="D13" s="10" t="s">
        <v>180</v>
      </c>
      <c r="E13" s="7">
        <v>9550367172</v>
      </c>
      <c r="F13" s="17">
        <v>40032</v>
      </c>
      <c r="G13" s="426"/>
    </row>
    <row r="14" spans="1:7" ht="16.5" customHeight="1">
      <c r="A14" s="5">
        <v>9</v>
      </c>
      <c r="B14" s="5">
        <v>2490</v>
      </c>
      <c r="C14" s="14" t="s">
        <v>83</v>
      </c>
      <c r="D14" s="7" t="s">
        <v>157</v>
      </c>
      <c r="E14" s="5">
        <v>9848129660</v>
      </c>
      <c r="F14" s="17">
        <v>45084</v>
      </c>
      <c r="G14" s="426">
        <f t="shared" ca="1" si="0"/>
        <v>2</v>
      </c>
    </row>
    <row r="15" spans="1:7" ht="16.5" customHeight="1">
      <c r="A15" s="5">
        <v>10</v>
      </c>
      <c r="B15" s="5">
        <v>2499</v>
      </c>
      <c r="C15" s="12" t="s">
        <v>221</v>
      </c>
      <c r="D15" s="7" t="s">
        <v>157</v>
      </c>
      <c r="E15" s="5">
        <v>9994476533</v>
      </c>
      <c r="F15" s="13">
        <v>45103</v>
      </c>
      <c r="G15" s="426">
        <f t="shared" ca="1" si="0"/>
        <v>2</v>
      </c>
    </row>
    <row r="16" spans="1:7" ht="16.5" customHeight="1">
      <c r="A16" s="5">
        <v>11</v>
      </c>
      <c r="B16" s="5">
        <v>2501</v>
      </c>
      <c r="C16" s="14" t="s">
        <v>101</v>
      </c>
      <c r="D16" s="7" t="s">
        <v>157</v>
      </c>
      <c r="E16" s="5">
        <v>9848052474</v>
      </c>
      <c r="F16" s="13">
        <v>45103</v>
      </c>
      <c r="G16" s="426">
        <f t="shared" ca="1" si="0"/>
        <v>2</v>
      </c>
    </row>
    <row r="17" spans="1:10" ht="16.5" customHeight="1">
      <c r="A17" s="5">
        <v>12</v>
      </c>
      <c r="B17" s="5">
        <v>2541</v>
      </c>
      <c r="C17" s="16" t="s">
        <v>127</v>
      </c>
      <c r="D17" s="7" t="s">
        <v>157</v>
      </c>
      <c r="E17" s="5">
        <v>7981738522</v>
      </c>
      <c r="F17" s="17">
        <v>45139</v>
      </c>
      <c r="G17" s="426">
        <f t="shared" ca="1" si="0"/>
        <v>2</v>
      </c>
    </row>
    <row r="18" spans="1:10" ht="16.5" customHeight="1">
      <c r="A18" s="5">
        <v>13</v>
      </c>
      <c r="B18" s="10">
        <v>2689</v>
      </c>
      <c r="C18" s="9" t="s">
        <v>154</v>
      </c>
      <c r="D18" s="7" t="s">
        <v>157</v>
      </c>
      <c r="E18" s="18">
        <v>7006157037</v>
      </c>
      <c r="F18" s="17">
        <v>45289</v>
      </c>
      <c r="G18" s="426">
        <f t="shared" ca="1" si="0"/>
        <v>2</v>
      </c>
    </row>
    <row r="19" spans="1:10" ht="16.5" customHeight="1">
      <c r="A19" s="5">
        <v>14</v>
      </c>
      <c r="B19" s="5">
        <v>2947</v>
      </c>
      <c r="C19" s="12" t="s">
        <v>204</v>
      </c>
      <c r="D19" s="7" t="s">
        <v>157</v>
      </c>
      <c r="E19" s="5">
        <v>9032045840</v>
      </c>
      <c r="F19" s="17">
        <v>45632</v>
      </c>
      <c r="G19" s="426">
        <f t="shared" ca="1" si="0"/>
        <v>1</v>
      </c>
    </row>
    <row r="20" spans="1:10" ht="16.5" customHeight="1">
      <c r="A20" s="5">
        <v>15</v>
      </c>
      <c r="B20" s="19" t="s">
        <v>397</v>
      </c>
      <c r="C20" s="9" t="s">
        <v>67</v>
      </c>
      <c r="D20" s="10" t="s">
        <v>68</v>
      </c>
      <c r="E20" s="5">
        <v>9614547390</v>
      </c>
      <c r="F20" s="23">
        <v>45014</v>
      </c>
      <c r="G20" s="426">
        <f t="shared" ca="1" si="0"/>
        <v>3</v>
      </c>
    </row>
    <row r="21" spans="1:10" ht="16.5" customHeight="1">
      <c r="A21" s="5">
        <v>16</v>
      </c>
      <c r="B21" s="5">
        <v>2454</v>
      </c>
      <c r="C21" s="16" t="s">
        <v>318</v>
      </c>
      <c r="D21" s="10" t="s">
        <v>68</v>
      </c>
      <c r="E21" s="5">
        <v>7729990303</v>
      </c>
      <c r="F21" s="23">
        <v>45047</v>
      </c>
      <c r="G21" s="426">
        <f t="shared" ca="1" si="0"/>
        <v>2</v>
      </c>
      <c r="J21" s="432"/>
    </row>
    <row r="22" spans="1:10" ht="16.5" customHeight="1">
      <c r="A22" s="5">
        <v>17</v>
      </c>
      <c r="B22" s="5">
        <v>2502</v>
      </c>
      <c r="C22" s="14" t="s">
        <v>359</v>
      </c>
      <c r="D22" s="10" t="s">
        <v>68</v>
      </c>
      <c r="E22" s="5">
        <v>9600605782</v>
      </c>
      <c r="F22" s="13">
        <v>45105</v>
      </c>
      <c r="G22" s="426">
        <f t="shared" ca="1" si="0"/>
        <v>2</v>
      </c>
    </row>
    <row r="23" spans="1:10" ht="16.5" customHeight="1">
      <c r="A23" s="5">
        <v>18</v>
      </c>
      <c r="B23" s="5">
        <v>2514</v>
      </c>
      <c r="C23" s="14" t="s">
        <v>113</v>
      </c>
      <c r="D23" s="10" t="s">
        <v>68</v>
      </c>
      <c r="E23" s="5">
        <v>9500312191</v>
      </c>
      <c r="F23" s="13">
        <v>45117</v>
      </c>
      <c r="G23" s="426">
        <f t="shared" ca="1" si="0"/>
        <v>2</v>
      </c>
    </row>
    <row r="24" spans="1:10" ht="16.5" customHeight="1">
      <c r="A24" s="5">
        <v>19</v>
      </c>
      <c r="B24" s="5">
        <v>2519</v>
      </c>
      <c r="C24" s="14" t="s">
        <v>120</v>
      </c>
      <c r="D24" s="10" t="s">
        <v>68</v>
      </c>
      <c r="E24" s="10">
        <v>8978116834</v>
      </c>
      <c r="F24" s="17">
        <v>45121</v>
      </c>
      <c r="G24" s="426">
        <f t="shared" ca="1" si="0"/>
        <v>2</v>
      </c>
    </row>
    <row r="25" spans="1:10" ht="16.5" customHeight="1">
      <c r="A25" s="5">
        <v>20</v>
      </c>
      <c r="B25" s="5">
        <v>2934</v>
      </c>
      <c r="C25" s="12" t="s">
        <v>193</v>
      </c>
      <c r="D25" s="10" t="s">
        <v>68</v>
      </c>
      <c r="E25" s="18">
        <v>9440664462</v>
      </c>
      <c r="F25" s="17">
        <v>45600</v>
      </c>
      <c r="G25" s="426">
        <f t="shared" ca="1" si="0"/>
        <v>1</v>
      </c>
    </row>
    <row r="26" spans="1:10" ht="16.5" customHeight="1">
      <c r="A26" s="5">
        <v>21</v>
      </c>
      <c r="B26" s="5">
        <v>3080</v>
      </c>
      <c r="C26" s="12" t="s">
        <v>398</v>
      </c>
      <c r="D26" s="10" t="s">
        <v>68</v>
      </c>
      <c r="E26" s="18">
        <v>6300921477</v>
      </c>
      <c r="F26" s="17" t="s">
        <v>399</v>
      </c>
      <c r="G26" s="426">
        <v>0</v>
      </c>
    </row>
    <row r="27" spans="1:10" ht="16.5" customHeight="1">
      <c r="A27" s="5">
        <v>22</v>
      </c>
      <c r="B27" s="237" t="s">
        <v>420</v>
      </c>
      <c r="C27" s="12" t="s">
        <v>415</v>
      </c>
      <c r="D27" s="10" t="s">
        <v>68</v>
      </c>
      <c r="E27" s="18">
        <v>9492688417</v>
      </c>
      <c r="F27" s="17" t="s">
        <v>421</v>
      </c>
      <c r="G27" s="426">
        <v>0</v>
      </c>
    </row>
    <row r="28" spans="1:10" ht="16.5" customHeight="1">
      <c r="A28" s="5">
        <v>23</v>
      </c>
      <c r="B28" s="5">
        <v>3205</v>
      </c>
      <c r="C28" s="12" t="s">
        <v>556</v>
      </c>
      <c r="D28" s="5" t="s">
        <v>68</v>
      </c>
      <c r="E28" s="18">
        <v>9494841792</v>
      </c>
      <c r="F28" s="17">
        <v>45838</v>
      </c>
      <c r="G28" s="426"/>
    </row>
    <row r="29" spans="1:10" ht="16.5" customHeight="1">
      <c r="A29" s="5">
        <v>24</v>
      </c>
      <c r="B29" s="5">
        <v>1181</v>
      </c>
      <c r="C29" s="9" t="s">
        <v>55</v>
      </c>
      <c r="D29" s="10" t="s">
        <v>68</v>
      </c>
      <c r="E29" s="7">
        <v>9493670612</v>
      </c>
      <c r="F29" s="23">
        <v>42193</v>
      </c>
      <c r="G29" s="426">
        <f t="shared" ref="G29:G37" ca="1" si="1">DATEDIF(F29,TODAY(),"y")</f>
        <v>10</v>
      </c>
    </row>
    <row r="30" spans="1:10" ht="16.5" customHeight="1">
      <c r="A30" s="5">
        <v>25</v>
      </c>
      <c r="B30" s="5">
        <v>1243</v>
      </c>
      <c r="C30" s="9" t="s">
        <v>58</v>
      </c>
      <c r="D30" s="10" t="s">
        <v>68</v>
      </c>
      <c r="E30" s="7">
        <v>8790166779</v>
      </c>
      <c r="F30" s="23">
        <v>42354</v>
      </c>
      <c r="G30" s="426">
        <f t="shared" ca="1" si="1"/>
        <v>10</v>
      </c>
    </row>
    <row r="31" spans="1:10" ht="16.5" customHeight="1">
      <c r="A31" s="5">
        <v>26</v>
      </c>
      <c r="B31" s="5">
        <v>2432</v>
      </c>
      <c r="C31" s="16" t="s">
        <v>280</v>
      </c>
      <c r="D31" s="10" t="s">
        <v>68</v>
      </c>
      <c r="E31" s="5">
        <v>7093243607</v>
      </c>
      <c r="F31" s="13">
        <v>44982</v>
      </c>
      <c r="G31" s="426">
        <f t="shared" ca="1" si="1"/>
        <v>3</v>
      </c>
    </row>
    <row r="32" spans="1:10" ht="16.5" customHeight="1">
      <c r="A32" s="5">
        <v>27</v>
      </c>
      <c r="B32" s="5">
        <v>2728</v>
      </c>
      <c r="C32" s="14" t="s">
        <v>384</v>
      </c>
      <c r="D32" s="5" t="s">
        <v>558</v>
      </c>
      <c r="E32" s="5">
        <v>7981960066</v>
      </c>
      <c r="F32" s="13">
        <v>45385</v>
      </c>
      <c r="G32" s="426">
        <f t="shared" ca="1" si="1"/>
        <v>2</v>
      </c>
    </row>
    <row r="33" spans="1:7" ht="16.5" customHeight="1">
      <c r="A33" s="5">
        <v>28</v>
      </c>
      <c r="B33" s="5">
        <v>2765</v>
      </c>
      <c r="C33" s="16" t="s">
        <v>168</v>
      </c>
      <c r="D33" s="10" t="s">
        <v>68</v>
      </c>
      <c r="E33" s="5">
        <v>9788682940</v>
      </c>
      <c r="F33" s="17">
        <v>45453</v>
      </c>
      <c r="G33" s="426">
        <f t="shared" ca="1" si="1"/>
        <v>1</v>
      </c>
    </row>
    <row r="34" spans="1:7" ht="16.5" customHeight="1">
      <c r="A34" s="5">
        <v>29</v>
      </c>
      <c r="B34" s="5">
        <v>2512</v>
      </c>
      <c r="C34" s="16" t="s">
        <v>189</v>
      </c>
      <c r="D34" s="10" t="s">
        <v>68</v>
      </c>
      <c r="E34" s="5">
        <v>9292709507</v>
      </c>
      <c r="F34" s="23">
        <v>45117</v>
      </c>
      <c r="G34" s="426">
        <f t="shared" ca="1" si="1"/>
        <v>2</v>
      </c>
    </row>
    <row r="35" spans="1:7" ht="16.5" customHeight="1">
      <c r="A35" s="5">
        <v>30</v>
      </c>
      <c r="B35" s="5">
        <v>2898</v>
      </c>
      <c r="C35" s="12" t="s">
        <v>190</v>
      </c>
      <c r="D35" s="10" t="s">
        <v>68</v>
      </c>
      <c r="E35" s="5">
        <v>9989895732</v>
      </c>
      <c r="F35" s="17">
        <v>45531</v>
      </c>
      <c r="G35" s="426">
        <f t="shared" ca="1" si="1"/>
        <v>1</v>
      </c>
    </row>
    <row r="36" spans="1:7" ht="16.5" customHeight="1">
      <c r="A36" s="5">
        <v>31</v>
      </c>
      <c r="B36" s="5">
        <v>2965</v>
      </c>
      <c r="C36" s="12" t="s">
        <v>365</v>
      </c>
      <c r="D36" s="5" t="s">
        <v>558</v>
      </c>
      <c r="E36" s="18">
        <v>9642674547</v>
      </c>
      <c r="F36" s="17">
        <v>45663</v>
      </c>
      <c r="G36" s="426">
        <f t="shared" ca="1" si="1"/>
        <v>1</v>
      </c>
    </row>
    <row r="37" spans="1:7" ht="16.5" customHeight="1">
      <c r="A37" s="5">
        <v>32</v>
      </c>
      <c r="B37" s="5">
        <v>3038</v>
      </c>
      <c r="C37" s="12" t="s">
        <v>385</v>
      </c>
      <c r="D37" s="5" t="s">
        <v>558</v>
      </c>
      <c r="E37" s="18">
        <v>8330983764</v>
      </c>
      <c r="F37" s="17">
        <v>45742</v>
      </c>
      <c r="G37" s="426">
        <f t="shared" ca="1" si="1"/>
        <v>1</v>
      </c>
    </row>
    <row r="38" spans="1:7" ht="16.5" customHeight="1">
      <c r="A38" s="5">
        <v>33</v>
      </c>
      <c r="B38" s="5">
        <v>3073</v>
      </c>
      <c r="C38" s="12" t="s">
        <v>400</v>
      </c>
      <c r="D38" s="5" t="s">
        <v>68</v>
      </c>
      <c r="E38" s="18">
        <v>9885657789</v>
      </c>
      <c r="F38" s="18" t="s">
        <v>401</v>
      </c>
      <c r="G38" s="426">
        <v>0</v>
      </c>
    </row>
    <row r="39" spans="1:7" ht="16.5" customHeight="1">
      <c r="A39" s="5">
        <v>34</v>
      </c>
      <c r="B39" s="5">
        <v>3081</v>
      </c>
      <c r="C39" s="12" t="s">
        <v>419</v>
      </c>
      <c r="D39" s="5" t="s">
        <v>68</v>
      </c>
      <c r="E39" s="18">
        <v>7338323477</v>
      </c>
      <c r="F39" s="18" t="s">
        <v>403</v>
      </c>
      <c r="G39" s="426">
        <v>0</v>
      </c>
    </row>
    <row r="40" spans="1:7" ht="16.5" customHeight="1">
      <c r="A40" s="5">
        <v>35</v>
      </c>
      <c r="B40" s="5">
        <v>3084</v>
      </c>
      <c r="C40" s="12" t="s">
        <v>404</v>
      </c>
      <c r="D40" s="5" t="s">
        <v>558</v>
      </c>
      <c r="E40" s="18">
        <v>9492617314</v>
      </c>
      <c r="F40" s="18" t="s">
        <v>405</v>
      </c>
      <c r="G40" s="426">
        <v>0</v>
      </c>
    </row>
    <row r="41" spans="1:7" ht="16.5" customHeight="1">
      <c r="A41" s="5">
        <v>36</v>
      </c>
      <c r="B41" s="5">
        <v>2921</v>
      </c>
      <c r="C41" s="12" t="s">
        <v>364</v>
      </c>
      <c r="D41" s="10" t="s">
        <v>192</v>
      </c>
      <c r="E41" s="18">
        <v>9014766760</v>
      </c>
      <c r="F41" s="17">
        <v>45580</v>
      </c>
      <c r="G41" s="426">
        <f t="shared" ref="G41:G50" ca="1" si="2">DATEDIF(F41,TODAY(),"y")</f>
        <v>1</v>
      </c>
    </row>
    <row r="42" spans="1:7" ht="16.5" customHeight="1">
      <c r="A42" s="5">
        <v>37</v>
      </c>
      <c r="B42" s="5">
        <v>3089</v>
      </c>
      <c r="C42" s="12" t="s">
        <v>416</v>
      </c>
      <c r="D42" s="18" t="s">
        <v>417</v>
      </c>
      <c r="E42" s="18">
        <v>8790242128</v>
      </c>
      <c r="F42" s="17">
        <v>45826</v>
      </c>
      <c r="G42" s="426">
        <f t="shared" ca="1" si="2"/>
        <v>0</v>
      </c>
    </row>
    <row r="43" spans="1:7" ht="16.5" customHeight="1">
      <c r="A43" s="5">
        <v>38</v>
      </c>
      <c r="B43" s="5">
        <v>3129</v>
      </c>
      <c r="C43" s="12" t="s">
        <v>422</v>
      </c>
      <c r="D43" s="5" t="s">
        <v>68</v>
      </c>
      <c r="E43" s="18">
        <v>9491432819</v>
      </c>
      <c r="F43" s="17">
        <v>45845</v>
      </c>
      <c r="G43" s="426">
        <f t="shared" ca="1" si="2"/>
        <v>0</v>
      </c>
    </row>
    <row r="44" spans="1:7" ht="16.5" customHeight="1">
      <c r="A44" s="5">
        <v>39</v>
      </c>
      <c r="B44" s="5">
        <v>31128</v>
      </c>
      <c r="C44" s="14" t="s">
        <v>570</v>
      </c>
      <c r="D44" s="18" t="s">
        <v>417</v>
      </c>
      <c r="E44" s="5">
        <v>8341347612</v>
      </c>
      <c r="F44" s="17">
        <v>45947</v>
      </c>
      <c r="G44" s="426">
        <f t="shared" ca="1" si="2"/>
        <v>0</v>
      </c>
    </row>
    <row r="45" spans="1:7" ht="16.5" customHeight="1">
      <c r="A45" s="5">
        <v>40</v>
      </c>
      <c r="B45" s="5">
        <v>2925</v>
      </c>
      <c r="C45" s="12" t="s">
        <v>369</v>
      </c>
      <c r="D45" s="5" t="s">
        <v>62</v>
      </c>
      <c r="E45" s="18">
        <v>7995794652</v>
      </c>
      <c r="F45" s="17">
        <v>45582</v>
      </c>
      <c r="G45" s="426"/>
    </row>
    <row r="46" spans="1:7" ht="16.5" customHeight="1">
      <c r="A46" s="5">
        <v>41</v>
      </c>
      <c r="B46" s="5">
        <v>2936</v>
      </c>
      <c r="C46" s="12" t="s">
        <v>197</v>
      </c>
      <c r="D46" s="10" t="s">
        <v>198</v>
      </c>
      <c r="E46" s="18">
        <v>8125544167</v>
      </c>
      <c r="F46" s="17">
        <v>45600</v>
      </c>
      <c r="G46" s="426">
        <f t="shared" ca="1" si="2"/>
        <v>1</v>
      </c>
    </row>
    <row r="47" spans="1:7" ht="16.5" customHeight="1">
      <c r="A47" s="5">
        <v>42</v>
      </c>
      <c r="B47" s="5">
        <v>2950</v>
      </c>
      <c r="C47" s="12" t="s">
        <v>390</v>
      </c>
      <c r="D47" s="10" t="s">
        <v>198</v>
      </c>
      <c r="E47" s="5">
        <v>9000024070</v>
      </c>
      <c r="F47" s="17">
        <v>45638</v>
      </c>
      <c r="G47" s="426">
        <f t="shared" ca="1" si="2"/>
        <v>1</v>
      </c>
    </row>
    <row r="48" spans="1:7" ht="16.5" customHeight="1">
      <c r="A48" s="5">
        <v>43</v>
      </c>
      <c r="B48" s="5">
        <v>3052</v>
      </c>
      <c r="C48" s="12" t="s">
        <v>202</v>
      </c>
      <c r="D48" s="5" t="s">
        <v>372</v>
      </c>
      <c r="E48" s="18">
        <v>7331142998</v>
      </c>
      <c r="F48" s="17">
        <v>45778</v>
      </c>
      <c r="G48" s="426">
        <f t="shared" ca="1" si="2"/>
        <v>0</v>
      </c>
    </row>
    <row r="49" spans="1:7" s="395" customFormat="1" ht="16.5" customHeight="1">
      <c r="A49" s="5">
        <v>44</v>
      </c>
      <c r="B49" s="306">
        <v>30410</v>
      </c>
      <c r="C49" s="394" t="s">
        <v>408</v>
      </c>
      <c r="D49" s="5" t="s">
        <v>62</v>
      </c>
      <c r="E49" s="306">
        <v>7995622962</v>
      </c>
      <c r="F49" s="414">
        <v>44928</v>
      </c>
      <c r="G49" s="426">
        <f t="shared" ca="1" si="2"/>
        <v>3</v>
      </c>
    </row>
    <row r="50" spans="1:7" s="395" customFormat="1" ht="16.5" customHeight="1">
      <c r="A50" s="5">
        <v>45</v>
      </c>
      <c r="B50" s="306">
        <v>30744</v>
      </c>
      <c r="C50" s="394" t="s">
        <v>308</v>
      </c>
      <c r="D50" s="306" t="s">
        <v>309</v>
      </c>
      <c r="E50" s="306">
        <v>8790500801</v>
      </c>
      <c r="F50" s="415">
        <v>45071</v>
      </c>
      <c r="G50" s="426">
        <f t="shared" ca="1" si="2"/>
        <v>2</v>
      </c>
    </row>
    <row r="51" spans="1:7" s="395" customFormat="1" ht="16.5" customHeight="1">
      <c r="A51" s="5">
        <v>46</v>
      </c>
      <c r="B51" s="306">
        <v>31143</v>
      </c>
      <c r="C51" s="136" t="s">
        <v>575</v>
      </c>
      <c r="D51" s="306" t="s">
        <v>228</v>
      </c>
      <c r="E51" s="306">
        <v>9381279468</v>
      </c>
      <c r="F51" s="429">
        <v>45964</v>
      </c>
      <c r="G51" s="169"/>
    </row>
    <row r="52" spans="1:7" s="395" customFormat="1" ht="16.5" customHeight="1">
      <c r="A52" s="5">
        <v>47</v>
      </c>
      <c r="B52" s="5">
        <v>633</v>
      </c>
      <c r="C52" s="16" t="s">
        <v>305</v>
      </c>
      <c r="D52" s="5" t="s">
        <v>320</v>
      </c>
      <c r="E52" s="5">
        <v>9494678628</v>
      </c>
      <c r="F52" s="13">
        <v>40380</v>
      </c>
      <c r="G52" s="169"/>
    </row>
    <row r="53" spans="1:7" s="395" customFormat="1" ht="16.5" customHeight="1">
      <c r="A53" s="5">
        <v>48</v>
      </c>
      <c r="B53" s="5">
        <v>2285</v>
      </c>
      <c r="C53" s="16" t="s">
        <v>306</v>
      </c>
      <c r="D53" s="5" t="s">
        <v>321</v>
      </c>
      <c r="E53" s="5">
        <v>9640066261</v>
      </c>
      <c r="F53" s="13">
        <v>44718</v>
      </c>
      <c r="G53" s="169"/>
    </row>
    <row r="54" spans="1:7" s="395" customFormat="1" ht="18" customHeight="1">
      <c r="A54" s="366"/>
      <c r="B54" s="366"/>
      <c r="C54" s="430"/>
      <c r="D54" s="366"/>
      <c r="E54" s="366"/>
      <c r="F54" s="431"/>
      <c r="G54" s="169"/>
    </row>
    <row r="55" spans="1:7" s="395" customFormat="1" ht="18" customHeight="1">
      <c r="A55" s="578" t="s">
        <v>47</v>
      </c>
      <c r="B55" s="578"/>
      <c r="C55" s="578"/>
      <c r="D55" s="578"/>
      <c r="E55" s="578"/>
      <c r="F55" s="578"/>
    </row>
    <row r="56" spans="1:7" s="395" customFormat="1" ht="18" customHeight="1">
      <c r="A56" s="583" t="s">
        <v>274</v>
      </c>
      <c r="B56" s="583"/>
      <c r="C56" s="583"/>
      <c r="D56" s="583"/>
      <c r="E56" s="583"/>
      <c r="F56" s="583"/>
    </row>
    <row r="57" spans="1:7" ht="18" customHeight="1">
      <c r="A57" s="569" t="s">
        <v>566</v>
      </c>
      <c r="B57" s="569"/>
      <c r="C57" s="569"/>
      <c r="D57" s="569"/>
      <c r="E57" s="569"/>
      <c r="F57" s="569"/>
      <c r="G57" s="569"/>
    </row>
    <row r="58" spans="1:7" ht="18" customHeight="1">
      <c r="A58" s="579"/>
      <c r="B58" s="579"/>
      <c r="C58" s="579"/>
      <c r="D58" s="579"/>
      <c r="E58" s="579"/>
      <c r="F58" s="579"/>
      <c r="G58" s="393"/>
    </row>
    <row r="59" spans="1:7" ht="18" customHeight="1">
      <c r="A59" s="392" t="s">
        <v>557</v>
      </c>
      <c r="B59" s="392" t="s">
        <v>285</v>
      </c>
      <c r="C59" s="392" t="s">
        <v>446</v>
      </c>
      <c r="D59" s="392" t="s">
        <v>4</v>
      </c>
      <c r="E59" s="2" t="s">
        <v>8</v>
      </c>
      <c r="F59" s="3" t="s">
        <v>394</v>
      </c>
      <c r="G59" s="421" t="s">
        <v>395</v>
      </c>
    </row>
    <row r="60" spans="1:7" ht="18" customHeight="1">
      <c r="A60" s="5">
        <v>1</v>
      </c>
      <c r="B60" s="306">
        <v>30904</v>
      </c>
      <c r="C60" s="14" t="s">
        <v>406</v>
      </c>
      <c r="D60" s="5" t="s">
        <v>62</v>
      </c>
      <c r="E60" s="5">
        <v>8688928251</v>
      </c>
      <c r="F60" s="13">
        <v>45817</v>
      </c>
      <c r="G60" s="421"/>
    </row>
    <row r="61" spans="1:7" ht="18" customHeight="1">
      <c r="A61" s="5">
        <v>2</v>
      </c>
      <c r="B61" s="306">
        <v>30917</v>
      </c>
      <c r="C61" s="14" t="s">
        <v>424</v>
      </c>
      <c r="D61" s="5" t="s">
        <v>62</v>
      </c>
      <c r="E61" s="5">
        <v>7075775397</v>
      </c>
      <c r="F61" s="13">
        <v>45831</v>
      </c>
      <c r="G61" s="422"/>
    </row>
    <row r="62" spans="1:7" ht="18" customHeight="1">
      <c r="A62" s="5">
        <v>3</v>
      </c>
      <c r="B62" s="306">
        <v>30934</v>
      </c>
      <c r="C62" s="14" t="s">
        <v>426</v>
      </c>
      <c r="D62" s="5" t="s">
        <v>62</v>
      </c>
      <c r="E62" s="5">
        <v>7569374895</v>
      </c>
      <c r="F62" s="13">
        <v>45834</v>
      </c>
      <c r="G62" s="422"/>
    </row>
    <row r="63" spans="1:7" ht="18" customHeight="1">
      <c r="A63" s="5">
        <v>4</v>
      </c>
      <c r="B63" s="306">
        <v>30936</v>
      </c>
      <c r="C63" s="14" t="s">
        <v>427</v>
      </c>
      <c r="D63" s="5" t="s">
        <v>62</v>
      </c>
      <c r="E63" s="5">
        <v>8639469394</v>
      </c>
      <c r="F63" s="13">
        <v>45834</v>
      </c>
      <c r="G63" s="422"/>
    </row>
    <row r="64" spans="1:7" ht="18" customHeight="1">
      <c r="A64" s="5">
        <v>5</v>
      </c>
      <c r="B64" s="306">
        <v>30940</v>
      </c>
      <c r="C64" s="14" t="s">
        <v>428</v>
      </c>
      <c r="D64" s="5" t="s">
        <v>62</v>
      </c>
      <c r="E64" s="5">
        <v>9573979580</v>
      </c>
      <c r="F64" s="13">
        <v>45834</v>
      </c>
      <c r="G64" s="422"/>
    </row>
    <row r="65" spans="1:8" ht="18" customHeight="1">
      <c r="A65" s="5">
        <v>6</v>
      </c>
      <c r="B65" s="306">
        <v>30948</v>
      </c>
      <c r="C65" s="14" t="s">
        <v>431</v>
      </c>
      <c r="D65" s="5" t="s">
        <v>62</v>
      </c>
      <c r="E65" s="5">
        <v>8978224170</v>
      </c>
      <c r="F65" s="13">
        <v>45838</v>
      </c>
      <c r="G65" s="422"/>
    </row>
    <row r="66" spans="1:8" ht="18" customHeight="1">
      <c r="A66" s="5">
        <v>7</v>
      </c>
      <c r="B66" s="306">
        <v>30951</v>
      </c>
      <c r="C66" s="14" t="s">
        <v>434</v>
      </c>
      <c r="D66" s="5" t="s">
        <v>62</v>
      </c>
      <c r="E66" s="5">
        <v>9398268887</v>
      </c>
      <c r="F66" s="13">
        <v>45838</v>
      </c>
      <c r="G66" s="422"/>
    </row>
    <row r="67" spans="1:8" ht="18" customHeight="1">
      <c r="A67" s="5">
        <v>8</v>
      </c>
      <c r="B67" s="306">
        <v>30955</v>
      </c>
      <c r="C67" s="14" t="s">
        <v>437</v>
      </c>
      <c r="D67" s="5" t="s">
        <v>62</v>
      </c>
      <c r="E67" s="5">
        <v>6281270604</v>
      </c>
      <c r="F67" s="13">
        <v>45840</v>
      </c>
      <c r="G67" s="422"/>
    </row>
    <row r="68" spans="1:8" ht="18" customHeight="1">
      <c r="A68" s="5">
        <v>9</v>
      </c>
      <c r="B68" s="316">
        <v>30958</v>
      </c>
      <c r="C68" s="110" t="s">
        <v>438</v>
      </c>
      <c r="D68" s="290" t="s">
        <v>62</v>
      </c>
      <c r="E68" s="290">
        <v>8074663963</v>
      </c>
      <c r="F68" s="13">
        <v>45842</v>
      </c>
      <c r="G68" s="422"/>
      <c r="H68" s="63">
        <v>45990</v>
      </c>
    </row>
    <row r="69" spans="1:8" ht="18" customHeight="1">
      <c r="A69" s="5">
        <v>10</v>
      </c>
      <c r="B69" s="306">
        <v>30960</v>
      </c>
      <c r="C69" s="14" t="s">
        <v>439</v>
      </c>
      <c r="D69" s="5" t="s">
        <v>62</v>
      </c>
      <c r="E69" s="5">
        <v>9381847839</v>
      </c>
      <c r="F69" s="13">
        <v>45842</v>
      </c>
      <c r="G69" s="422"/>
    </row>
    <row r="70" spans="1:8" ht="18" customHeight="1">
      <c r="A70" s="5">
        <v>11</v>
      </c>
      <c r="B70" s="306">
        <v>30961</v>
      </c>
      <c r="C70" s="14" t="s">
        <v>440</v>
      </c>
      <c r="D70" s="5" t="s">
        <v>62</v>
      </c>
      <c r="E70" s="5">
        <v>6300368240</v>
      </c>
      <c r="F70" s="13">
        <v>45843</v>
      </c>
      <c r="G70" s="422"/>
    </row>
    <row r="71" spans="1:8" ht="18" customHeight="1">
      <c r="A71" s="5">
        <v>12</v>
      </c>
      <c r="B71" s="306">
        <v>30964</v>
      </c>
      <c r="C71" s="14" t="s">
        <v>448</v>
      </c>
      <c r="D71" s="5" t="s">
        <v>62</v>
      </c>
      <c r="E71" s="5">
        <v>9515172678</v>
      </c>
      <c r="F71" s="13" t="s">
        <v>449</v>
      </c>
      <c r="G71" s="422"/>
    </row>
    <row r="72" spans="1:8" ht="18" customHeight="1">
      <c r="A72" s="5">
        <v>13</v>
      </c>
      <c r="B72" s="306">
        <v>30969</v>
      </c>
      <c r="C72" s="16" t="s">
        <v>453</v>
      </c>
      <c r="D72" s="5" t="s">
        <v>62</v>
      </c>
      <c r="E72" s="5">
        <v>8247017365</v>
      </c>
      <c r="F72" s="13" t="s">
        <v>454</v>
      </c>
      <c r="G72" s="422"/>
    </row>
    <row r="73" spans="1:8" ht="18" customHeight="1">
      <c r="A73" s="5">
        <v>14</v>
      </c>
      <c r="B73" s="306">
        <v>30970</v>
      </c>
      <c r="C73" s="16" t="s">
        <v>455</v>
      </c>
      <c r="D73" s="5" t="s">
        <v>62</v>
      </c>
      <c r="E73" s="5">
        <v>8125869185</v>
      </c>
      <c r="F73" s="13" t="s">
        <v>454</v>
      </c>
      <c r="G73" s="422"/>
    </row>
    <row r="74" spans="1:8" ht="18" customHeight="1">
      <c r="A74" s="5">
        <v>15</v>
      </c>
      <c r="B74" s="306">
        <v>30971</v>
      </c>
      <c r="C74" s="16" t="s">
        <v>456</v>
      </c>
      <c r="D74" s="5" t="s">
        <v>62</v>
      </c>
      <c r="E74" s="10">
        <v>9000393290</v>
      </c>
      <c r="F74" s="23">
        <v>45847</v>
      </c>
      <c r="G74" s="423"/>
    </row>
    <row r="75" spans="1:8" ht="18" customHeight="1">
      <c r="A75" s="5">
        <v>16</v>
      </c>
      <c r="B75" s="318">
        <v>30981</v>
      </c>
      <c r="C75" s="304" t="s">
        <v>458</v>
      </c>
      <c r="D75" s="290" t="s">
        <v>62</v>
      </c>
      <c r="E75" s="290">
        <v>7382713002</v>
      </c>
      <c r="F75" s="13" t="s">
        <v>459</v>
      </c>
      <c r="G75" s="424"/>
      <c r="H75" t="s">
        <v>580</v>
      </c>
    </row>
    <row r="76" spans="1:8" ht="18" customHeight="1">
      <c r="A76" s="5">
        <v>17</v>
      </c>
      <c r="B76" s="306">
        <v>30989</v>
      </c>
      <c r="C76" s="16" t="s">
        <v>464</v>
      </c>
      <c r="D76" s="5" t="s">
        <v>62</v>
      </c>
      <c r="E76" s="5">
        <v>7995627385</v>
      </c>
      <c r="F76" s="13" t="s">
        <v>463</v>
      </c>
      <c r="G76" s="422"/>
    </row>
    <row r="77" spans="1:8" ht="18" customHeight="1">
      <c r="A77" s="5">
        <v>18</v>
      </c>
      <c r="B77" s="306">
        <v>30997</v>
      </c>
      <c r="C77" s="16" t="s">
        <v>468</v>
      </c>
      <c r="D77" s="5" t="s">
        <v>62</v>
      </c>
      <c r="E77" s="5">
        <v>7013229574</v>
      </c>
      <c r="F77" s="13" t="s">
        <v>469</v>
      </c>
      <c r="G77" s="422"/>
    </row>
    <row r="78" spans="1:8" ht="18" customHeight="1">
      <c r="A78" s="5">
        <v>19</v>
      </c>
      <c r="B78" s="416">
        <v>30999</v>
      </c>
      <c r="C78" s="417" t="s">
        <v>518</v>
      </c>
      <c r="D78" s="5" t="s">
        <v>62</v>
      </c>
      <c r="E78" s="5">
        <v>9121426349</v>
      </c>
      <c r="F78" s="412">
        <v>45856</v>
      </c>
      <c r="G78" s="422"/>
    </row>
    <row r="79" spans="1:8" ht="18" customHeight="1">
      <c r="A79" s="5">
        <v>20</v>
      </c>
      <c r="B79" s="306">
        <v>31006</v>
      </c>
      <c r="C79" s="16" t="s">
        <v>513</v>
      </c>
      <c r="D79" s="5" t="s">
        <v>62</v>
      </c>
      <c r="E79" s="5">
        <v>8125924512</v>
      </c>
      <c r="F79" s="13">
        <v>45864</v>
      </c>
      <c r="G79" s="422"/>
    </row>
    <row r="80" spans="1:8" ht="18" customHeight="1">
      <c r="A80" s="5">
        <v>21</v>
      </c>
      <c r="B80" s="306">
        <v>31007</v>
      </c>
      <c r="C80" s="16" t="s">
        <v>516</v>
      </c>
      <c r="D80" s="5" t="s">
        <v>62</v>
      </c>
      <c r="E80" s="5">
        <v>8074825238</v>
      </c>
      <c r="F80" s="13">
        <v>45864</v>
      </c>
      <c r="G80" s="422"/>
    </row>
    <row r="81" spans="1:9" ht="18" customHeight="1">
      <c r="A81" s="5">
        <v>22</v>
      </c>
      <c r="B81" s="306">
        <v>31008</v>
      </c>
      <c r="C81" s="16" t="s">
        <v>510</v>
      </c>
      <c r="D81" s="5" t="s">
        <v>62</v>
      </c>
      <c r="E81" s="5">
        <v>7416250259</v>
      </c>
      <c r="F81" s="13">
        <v>45864</v>
      </c>
      <c r="G81" s="422"/>
    </row>
    <row r="82" spans="1:9" ht="18" customHeight="1">
      <c r="A82" s="5">
        <v>23</v>
      </c>
      <c r="B82" s="306">
        <v>31009</v>
      </c>
      <c r="C82" s="16" t="s">
        <v>511</v>
      </c>
      <c r="D82" s="5" t="s">
        <v>62</v>
      </c>
      <c r="E82" s="5">
        <v>9652560279</v>
      </c>
      <c r="F82" s="13">
        <v>45864</v>
      </c>
      <c r="G82" s="422"/>
    </row>
    <row r="83" spans="1:9" ht="18" customHeight="1">
      <c r="A83" s="5">
        <v>24</v>
      </c>
      <c r="B83" s="306">
        <v>31010</v>
      </c>
      <c r="C83" s="16" t="s">
        <v>515</v>
      </c>
      <c r="D83" s="5" t="s">
        <v>62</v>
      </c>
      <c r="E83" s="5">
        <v>6303868693</v>
      </c>
      <c r="F83" s="13">
        <v>45866</v>
      </c>
      <c r="G83" s="422"/>
    </row>
    <row r="84" spans="1:9" ht="18" customHeight="1">
      <c r="A84" s="5">
        <v>25</v>
      </c>
      <c r="B84" s="306">
        <v>31011</v>
      </c>
      <c r="C84" s="14" t="s">
        <v>514</v>
      </c>
      <c r="D84" s="5" t="s">
        <v>62</v>
      </c>
      <c r="E84" s="5">
        <v>7901533265</v>
      </c>
      <c r="F84" s="13">
        <v>45866</v>
      </c>
      <c r="G84" s="425"/>
    </row>
    <row r="85" spans="1:9" ht="18" customHeight="1">
      <c r="A85" s="5">
        <v>26</v>
      </c>
      <c r="B85" s="306">
        <v>31014</v>
      </c>
      <c r="C85" s="16" t="s">
        <v>509</v>
      </c>
      <c r="D85" s="5" t="s">
        <v>62</v>
      </c>
      <c r="E85" s="5">
        <v>7601073553</v>
      </c>
      <c r="F85" s="17">
        <v>45866</v>
      </c>
      <c r="G85" s="422"/>
    </row>
    <row r="86" spans="1:9" ht="18" customHeight="1">
      <c r="A86" s="5">
        <v>27</v>
      </c>
      <c r="B86" s="306">
        <v>31016</v>
      </c>
      <c r="C86" s="16" t="s">
        <v>508</v>
      </c>
      <c r="D86" s="5" t="s">
        <v>62</v>
      </c>
      <c r="E86" s="5">
        <v>8125941185</v>
      </c>
      <c r="F86" s="13">
        <v>45867</v>
      </c>
      <c r="G86" s="422"/>
    </row>
    <row r="87" spans="1:9" ht="18" customHeight="1">
      <c r="A87" s="5">
        <v>28</v>
      </c>
      <c r="B87" s="306">
        <v>31018</v>
      </c>
      <c r="C87" s="14" t="s">
        <v>517</v>
      </c>
      <c r="D87" s="5" t="s">
        <v>62</v>
      </c>
      <c r="E87" s="5">
        <v>8309517227</v>
      </c>
      <c r="F87" s="13">
        <v>45869</v>
      </c>
      <c r="G87" s="422"/>
    </row>
    <row r="88" spans="1:9" ht="18" customHeight="1">
      <c r="A88" s="5">
        <v>29</v>
      </c>
      <c r="B88" s="306">
        <v>31055</v>
      </c>
      <c r="C88" s="9" t="s">
        <v>521</v>
      </c>
      <c r="D88" s="5" t="s">
        <v>62</v>
      </c>
      <c r="E88" s="5">
        <v>9505237020</v>
      </c>
      <c r="F88" s="17">
        <v>45874</v>
      </c>
      <c r="G88" s="422"/>
    </row>
    <row r="89" spans="1:9" ht="18" customHeight="1">
      <c r="A89" s="5">
        <v>30</v>
      </c>
      <c r="B89" s="306">
        <v>31056</v>
      </c>
      <c r="C89" s="16" t="s">
        <v>524</v>
      </c>
      <c r="D89" s="5" t="s">
        <v>62</v>
      </c>
      <c r="E89" s="5">
        <v>9390166821</v>
      </c>
      <c r="F89" s="13">
        <v>45880</v>
      </c>
      <c r="G89" s="422"/>
    </row>
    <row r="90" spans="1:9" ht="18" customHeight="1">
      <c r="A90" s="5">
        <v>31</v>
      </c>
      <c r="B90" s="306">
        <v>31058</v>
      </c>
      <c r="C90" s="418" t="s">
        <v>528</v>
      </c>
      <c r="D90" s="5" t="s">
        <v>62</v>
      </c>
      <c r="E90" s="5">
        <v>9550763660</v>
      </c>
      <c r="F90" s="17">
        <v>45881</v>
      </c>
      <c r="G90" s="422"/>
    </row>
    <row r="91" spans="1:9" ht="18" customHeight="1">
      <c r="A91" s="5">
        <v>32</v>
      </c>
      <c r="B91" s="163">
        <v>31070</v>
      </c>
      <c r="C91" s="418" t="s">
        <v>548</v>
      </c>
      <c r="D91" s="5" t="s">
        <v>62</v>
      </c>
      <c r="E91" s="5">
        <v>9030272655</v>
      </c>
      <c r="F91" s="17">
        <v>45891</v>
      </c>
      <c r="G91" s="422"/>
    </row>
    <row r="92" spans="1:9" ht="18" customHeight="1">
      <c r="A92" s="5">
        <v>33</v>
      </c>
      <c r="B92" s="306">
        <v>31071</v>
      </c>
      <c r="C92" s="418" t="s">
        <v>549</v>
      </c>
      <c r="D92" s="5" t="s">
        <v>62</v>
      </c>
      <c r="E92" s="5">
        <v>8019998514</v>
      </c>
      <c r="F92" s="23">
        <v>45891</v>
      </c>
      <c r="G92" s="413">
        <v>45891</v>
      </c>
      <c r="I92" s="406"/>
    </row>
    <row r="93" spans="1:9" ht="18" customHeight="1">
      <c r="A93" s="5">
        <v>34</v>
      </c>
      <c r="B93" s="318">
        <v>31078</v>
      </c>
      <c r="C93" s="156" t="s">
        <v>550</v>
      </c>
      <c r="D93" s="290" t="s">
        <v>62</v>
      </c>
      <c r="E93" s="290">
        <v>6302491536</v>
      </c>
      <c r="F93" s="17">
        <v>45894</v>
      </c>
      <c r="G93" s="422"/>
      <c r="H93" t="s">
        <v>580</v>
      </c>
    </row>
    <row r="94" spans="1:9" ht="18" customHeight="1">
      <c r="A94" s="5">
        <v>35</v>
      </c>
      <c r="B94" s="163">
        <v>31082</v>
      </c>
      <c r="C94" s="418" t="s">
        <v>547</v>
      </c>
      <c r="D94" s="5" t="s">
        <v>62</v>
      </c>
      <c r="E94" s="5">
        <v>9848498113</v>
      </c>
      <c r="F94" s="17">
        <v>45894</v>
      </c>
      <c r="G94" s="422"/>
    </row>
    <row r="95" spans="1:9" ht="18" customHeight="1">
      <c r="A95" s="5">
        <v>36</v>
      </c>
      <c r="B95" s="318">
        <v>31083</v>
      </c>
      <c r="C95" s="156" t="s">
        <v>546</v>
      </c>
      <c r="D95" s="290" t="s">
        <v>62</v>
      </c>
      <c r="E95" s="290">
        <v>8074365175</v>
      </c>
      <c r="F95" s="5" t="s">
        <v>545</v>
      </c>
      <c r="G95" s="422"/>
      <c r="H95" s="441" t="s">
        <v>577</v>
      </c>
      <c r="I95" s="441" t="s">
        <v>578</v>
      </c>
    </row>
    <row r="96" spans="1:9" ht="18" customHeight="1">
      <c r="A96" s="5">
        <v>37</v>
      </c>
      <c r="B96" s="306">
        <v>31097</v>
      </c>
      <c r="C96" s="418" t="s">
        <v>552</v>
      </c>
      <c r="D96" s="5" t="s">
        <v>62</v>
      </c>
      <c r="E96" s="5">
        <v>6303002424</v>
      </c>
      <c r="F96" s="13">
        <v>45901</v>
      </c>
      <c r="G96" s="422"/>
    </row>
    <row r="97" spans="1:7" ht="18" customHeight="1">
      <c r="A97" s="5">
        <v>38</v>
      </c>
      <c r="B97" s="306">
        <v>31133</v>
      </c>
      <c r="C97" s="419" t="s">
        <v>569</v>
      </c>
      <c r="D97" s="5" t="s">
        <v>62</v>
      </c>
      <c r="E97" s="5">
        <v>8341185708</v>
      </c>
      <c r="F97" s="17">
        <v>45955</v>
      </c>
      <c r="G97" s="298"/>
    </row>
    <row r="98" spans="1:7" ht="18" customHeight="1">
      <c r="A98" s="24"/>
      <c r="D98" s="24"/>
      <c r="E98" s="26"/>
    </row>
    <row r="99" spans="1:7" ht="18" customHeight="1">
      <c r="B99" s="33"/>
      <c r="E99" s="26"/>
    </row>
    <row r="100" spans="1:7" ht="18" customHeight="1">
      <c r="A100" s="580" t="s">
        <v>323</v>
      </c>
      <c r="B100" s="580"/>
      <c r="C100" s="580"/>
      <c r="D100" s="580"/>
      <c r="E100" s="580"/>
      <c r="F100" s="580"/>
    </row>
    <row r="101" spans="1:7" s="395" customFormat="1" ht="18" customHeight="1">
      <c r="A101" s="306">
        <v>1</v>
      </c>
      <c r="B101" s="398">
        <v>2646</v>
      </c>
      <c r="C101" s="399" t="s">
        <v>245</v>
      </c>
      <c r="D101" s="398" t="s">
        <v>267</v>
      </c>
      <c r="E101" s="306">
        <v>6300035358</v>
      </c>
      <c r="F101" s="404">
        <v>45253</v>
      </c>
    </row>
    <row r="102" spans="1:7" s="395" customFormat="1" ht="18" customHeight="1">
      <c r="A102" s="306">
        <v>2</v>
      </c>
      <c r="B102" s="398">
        <v>2686</v>
      </c>
      <c r="C102" s="399" t="s">
        <v>268</v>
      </c>
      <c r="D102" s="398" t="s">
        <v>267</v>
      </c>
      <c r="E102" s="306">
        <v>8247346900</v>
      </c>
      <c r="F102" s="404">
        <v>45282</v>
      </c>
    </row>
    <row r="103" spans="1:7" s="395" customFormat="1" ht="18" customHeight="1">
      <c r="A103" s="306">
        <v>3</v>
      </c>
      <c r="B103" s="398">
        <v>2852</v>
      </c>
      <c r="C103" s="399" t="s">
        <v>205</v>
      </c>
      <c r="D103" s="398" t="s">
        <v>147</v>
      </c>
      <c r="E103" s="306">
        <v>7981683088</v>
      </c>
      <c r="F103" s="404">
        <v>45513</v>
      </c>
    </row>
    <row r="104" spans="1:7" s="395" customFormat="1" ht="18" customHeight="1">
      <c r="A104" s="306">
        <v>4</v>
      </c>
      <c r="B104" s="398">
        <v>2932</v>
      </c>
      <c r="C104" s="399" t="s">
        <v>207</v>
      </c>
      <c r="D104" s="398" t="s">
        <v>147</v>
      </c>
      <c r="E104" s="306">
        <v>7672052900</v>
      </c>
      <c r="F104" s="404">
        <v>45597</v>
      </c>
    </row>
    <row r="105" spans="1:7" s="395" customFormat="1" ht="18" customHeight="1">
      <c r="A105" s="306">
        <v>5</v>
      </c>
      <c r="B105" s="398">
        <v>2935</v>
      </c>
      <c r="C105" s="399" t="s">
        <v>208</v>
      </c>
      <c r="D105" s="398" t="s">
        <v>147</v>
      </c>
      <c r="E105" s="306">
        <v>9948686959</v>
      </c>
      <c r="F105" s="404">
        <v>45600</v>
      </c>
    </row>
    <row r="106" spans="1:7" s="395" customFormat="1" ht="18" customHeight="1">
      <c r="A106" s="306">
        <v>6</v>
      </c>
      <c r="B106" s="398">
        <v>2940</v>
      </c>
      <c r="C106" s="399" t="s">
        <v>209</v>
      </c>
      <c r="D106" s="398" t="s">
        <v>147</v>
      </c>
      <c r="E106" s="306">
        <v>7799595004</v>
      </c>
      <c r="F106" s="404">
        <v>45610</v>
      </c>
    </row>
    <row r="107" spans="1:7" s="395" customFormat="1" ht="18" customHeight="1">
      <c r="A107" s="306">
        <v>7</v>
      </c>
      <c r="B107" s="398">
        <v>2952</v>
      </c>
      <c r="C107" s="400" t="s">
        <v>210</v>
      </c>
      <c r="D107" s="398" t="s">
        <v>147</v>
      </c>
      <c r="E107" s="306">
        <v>6302946907</v>
      </c>
      <c r="F107" s="401" t="s">
        <v>411</v>
      </c>
    </row>
    <row r="108" spans="1:7" s="395" customFormat="1" ht="18" customHeight="1">
      <c r="A108" s="306">
        <v>8</v>
      </c>
      <c r="B108" s="398">
        <v>3023</v>
      </c>
      <c r="C108" s="400" t="s">
        <v>211</v>
      </c>
      <c r="D108" s="398" t="s">
        <v>147</v>
      </c>
      <c r="E108" s="306">
        <v>9182194446</v>
      </c>
      <c r="F108" s="404">
        <v>45726</v>
      </c>
    </row>
    <row r="109" spans="1:7" s="395" customFormat="1" ht="18" customHeight="1">
      <c r="A109" s="306">
        <v>9</v>
      </c>
      <c r="B109" s="306">
        <v>3032</v>
      </c>
      <c r="C109" s="400" t="s">
        <v>470</v>
      </c>
      <c r="D109" s="398" t="s">
        <v>147</v>
      </c>
      <c r="E109" s="401">
        <v>8341287184</v>
      </c>
      <c r="F109" s="401" t="s">
        <v>412</v>
      </c>
    </row>
    <row r="110" spans="1:7" s="395" customFormat="1" ht="18" customHeight="1">
      <c r="A110" s="306">
        <v>10</v>
      </c>
      <c r="B110" s="306">
        <v>3033</v>
      </c>
      <c r="C110" s="400" t="s">
        <v>471</v>
      </c>
      <c r="D110" s="398" t="s">
        <v>147</v>
      </c>
      <c r="E110" s="401">
        <v>9569464941</v>
      </c>
      <c r="F110" s="401" t="s">
        <v>413</v>
      </c>
    </row>
    <row r="111" spans="1:7" s="395" customFormat="1" ht="18" customHeight="1">
      <c r="A111" s="306">
        <v>11</v>
      </c>
      <c r="B111" s="306">
        <v>3128</v>
      </c>
      <c r="C111" s="400" t="s">
        <v>472</v>
      </c>
      <c r="D111" s="398" t="s">
        <v>147</v>
      </c>
      <c r="E111" s="401">
        <v>9492426713</v>
      </c>
      <c r="F111" s="401" t="s">
        <v>473</v>
      </c>
    </row>
    <row r="112" spans="1:7" s="395" customFormat="1" ht="18" customHeight="1">
      <c r="A112" s="306">
        <v>12</v>
      </c>
      <c r="B112" s="307">
        <v>3133</v>
      </c>
      <c r="C112" s="402" t="s">
        <v>474</v>
      </c>
      <c r="D112" s="398" t="s">
        <v>147</v>
      </c>
      <c r="E112" s="403">
        <v>7013885810</v>
      </c>
      <c r="F112" s="404">
        <v>45853</v>
      </c>
    </row>
    <row r="113" spans="1:6" s="395" customFormat="1" ht="18" customHeight="1">
      <c r="A113" s="306">
        <v>13</v>
      </c>
      <c r="B113" s="306">
        <v>3202</v>
      </c>
      <c r="C113" s="400" t="s">
        <v>555</v>
      </c>
      <c r="D113" s="398" t="s">
        <v>147</v>
      </c>
      <c r="E113" s="401" t="s">
        <v>554</v>
      </c>
      <c r="F113" s="412">
        <v>45918</v>
      </c>
    </row>
    <row r="114" spans="1:6" s="395" customFormat="1" ht="18" customHeight="1">
      <c r="A114" s="427"/>
      <c r="B114" s="428"/>
      <c r="C114" s="427"/>
      <c r="D114" s="427"/>
      <c r="E114" s="427"/>
      <c r="F114" s="405"/>
    </row>
    <row r="115" spans="1:6" ht="18" customHeight="1">
      <c r="A115" s="534"/>
      <c r="B115" s="534"/>
      <c r="C115" s="534"/>
      <c r="D115" s="534"/>
      <c r="E115" s="534"/>
      <c r="F115" s="534"/>
    </row>
    <row r="116" spans="1:6" ht="18" customHeight="1">
      <c r="A116" s="53">
        <v>1</v>
      </c>
      <c r="B116" s="53">
        <v>629</v>
      </c>
      <c r="C116" s="54" t="s">
        <v>248</v>
      </c>
      <c r="D116" s="53" t="s">
        <v>270</v>
      </c>
      <c r="E116" s="53">
        <v>9502200265</v>
      </c>
      <c r="F116" s="412">
        <v>40299</v>
      </c>
    </row>
    <row r="117" spans="1:6" ht="18" customHeight="1">
      <c r="A117" s="53">
        <v>2</v>
      </c>
      <c r="B117" s="53">
        <v>3178</v>
      </c>
      <c r="C117" s="54" t="s">
        <v>529</v>
      </c>
      <c r="D117" s="53" t="s">
        <v>270</v>
      </c>
      <c r="E117" s="53" t="s">
        <v>531</v>
      </c>
      <c r="F117" s="412">
        <v>45887</v>
      </c>
    </row>
    <row r="118" spans="1:6" ht="18" customHeight="1">
      <c r="A118" s="53">
        <v>3</v>
      </c>
      <c r="B118" s="53">
        <v>2613</v>
      </c>
      <c r="C118" s="54" t="s">
        <v>272</v>
      </c>
      <c r="D118" s="56" t="s">
        <v>251</v>
      </c>
      <c r="E118" s="53">
        <v>9573912337</v>
      </c>
      <c r="F118" s="412">
        <v>45198</v>
      </c>
    </row>
    <row r="119" spans="1:6" ht="18" customHeight="1">
      <c r="A119" s="53">
        <v>4</v>
      </c>
      <c r="B119" s="53">
        <v>2700</v>
      </c>
      <c r="C119" s="54" t="s">
        <v>273</v>
      </c>
      <c r="D119" s="53" t="s">
        <v>251</v>
      </c>
      <c r="E119" s="53">
        <v>7416390127</v>
      </c>
      <c r="F119" s="412">
        <v>45293</v>
      </c>
    </row>
    <row r="120" spans="1:6" ht="18" customHeight="1">
      <c r="A120" s="53">
        <v>5</v>
      </c>
      <c r="B120" s="53">
        <v>2996</v>
      </c>
      <c r="C120" s="54" t="s">
        <v>346</v>
      </c>
      <c r="D120" s="53" t="s">
        <v>251</v>
      </c>
      <c r="E120" s="53">
        <v>8142888477</v>
      </c>
      <c r="F120" s="412">
        <v>45700</v>
      </c>
    </row>
    <row r="125" spans="1:6">
      <c r="D125" s="420" t="s">
        <v>571</v>
      </c>
      <c r="E125" s="420">
        <v>47</v>
      </c>
    </row>
    <row r="126" spans="1:6">
      <c r="D126" s="420" t="s">
        <v>234</v>
      </c>
      <c r="E126" s="420">
        <v>41</v>
      </c>
    </row>
    <row r="127" spans="1:6">
      <c r="D127" s="420" t="s">
        <v>572</v>
      </c>
      <c r="E127" s="420">
        <v>13</v>
      </c>
    </row>
    <row r="128" spans="1:6">
      <c r="D128" s="420" t="s">
        <v>573</v>
      </c>
      <c r="E128" s="420">
        <v>5</v>
      </c>
    </row>
    <row r="129" spans="4:5">
      <c r="D129" s="420" t="s">
        <v>574</v>
      </c>
      <c r="E129" s="420">
        <f>SUM(E125:E128)</f>
        <v>106</v>
      </c>
    </row>
  </sheetData>
  <mergeCells count="10">
    <mergeCell ref="A58:F58"/>
    <mergeCell ref="A100:F100"/>
    <mergeCell ref="A115:F115"/>
    <mergeCell ref="A1:G1"/>
    <mergeCell ref="A2:G2"/>
    <mergeCell ref="A3:G3"/>
    <mergeCell ref="A57:G57"/>
    <mergeCell ref="A56:F56"/>
    <mergeCell ref="A55:F55"/>
    <mergeCell ref="A4:F4"/>
  </mergeCells>
  <conditionalFormatting sqref="B20:B21">
    <cfRule type="duplicateValues" dxfId="7" priority="1"/>
  </conditionalFormatting>
  <conditionalFormatting sqref="B29:B30">
    <cfRule type="duplicateValues" dxfId="6" priority="2"/>
  </conditionalFormatting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26"/>
  <sheetViews>
    <sheetView topLeftCell="A112" zoomScaleNormal="100" workbookViewId="0">
      <selection activeCell="H121" sqref="H121"/>
    </sheetView>
  </sheetViews>
  <sheetFormatPr defaultColWidth="9.109375" defaultRowHeight="15.6"/>
  <cols>
    <col min="1" max="1" width="6.44140625" style="87" customWidth="1"/>
    <col min="2" max="2" width="8.88671875" style="87" customWidth="1"/>
    <col min="3" max="3" width="35.6640625" style="87" customWidth="1"/>
    <col min="4" max="4" width="32.33203125" style="87" bestFit="1" customWidth="1"/>
    <col min="5" max="5" width="14.88671875" style="87" bestFit="1" customWidth="1"/>
    <col min="6" max="6" width="14.33203125" style="82" bestFit="1" customWidth="1"/>
    <col min="7" max="7" width="11.6640625" style="152" bestFit="1" customWidth="1"/>
    <col min="8" max="8" width="42.109375" style="152" bestFit="1" customWidth="1"/>
    <col min="9" max="9" width="98.33203125" style="465" bestFit="1" customWidth="1"/>
    <col min="10" max="10" width="17.33203125" style="482" customWidth="1"/>
    <col min="11" max="11" width="12.44140625" style="152" bestFit="1" customWidth="1"/>
    <col min="12" max="16384" width="9.109375" style="152"/>
  </cols>
  <sheetData>
    <row r="1" spans="1:9" ht="18" customHeight="1">
      <c r="A1" s="514" t="s">
        <v>47</v>
      </c>
      <c r="B1" s="514"/>
      <c r="C1" s="514"/>
      <c r="D1" s="514"/>
      <c r="E1" s="514"/>
      <c r="F1" s="514"/>
      <c r="G1" s="514"/>
      <c r="H1" s="514"/>
      <c r="I1" s="514"/>
    </row>
    <row r="2" spans="1:9" ht="18" customHeight="1">
      <c r="A2" s="514" t="s">
        <v>274</v>
      </c>
      <c r="B2" s="514"/>
      <c r="C2" s="514"/>
      <c r="D2" s="514"/>
      <c r="E2" s="514"/>
      <c r="F2" s="514"/>
      <c r="G2" s="514"/>
      <c r="H2" s="514"/>
      <c r="I2" s="514"/>
    </row>
    <row r="3" spans="1:9" ht="18" customHeight="1">
      <c r="A3" s="522" t="s">
        <v>565</v>
      </c>
      <c r="B3" s="522"/>
      <c r="C3" s="522"/>
      <c r="D3" s="522"/>
      <c r="E3" s="522"/>
      <c r="F3" s="522"/>
      <c r="G3" s="522"/>
      <c r="H3" s="522"/>
      <c r="I3" s="522"/>
    </row>
    <row r="4" spans="1:9" ht="18" customHeight="1">
      <c r="A4" s="584"/>
      <c r="B4" s="518"/>
      <c r="C4" s="518"/>
      <c r="D4" s="518"/>
      <c r="E4" s="518"/>
      <c r="F4" s="518"/>
      <c r="G4" s="518"/>
      <c r="H4" s="518"/>
      <c r="I4" s="518"/>
    </row>
    <row r="5" spans="1:9" ht="18" customHeight="1">
      <c r="A5" s="3" t="s">
        <v>1</v>
      </c>
      <c r="B5" s="3" t="s">
        <v>216</v>
      </c>
      <c r="C5" s="3" t="s">
        <v>3</v>
      </c>
      <c r="D5" s="3" t="s">
        <v>4</v>
      </c>
      <c r="E5" s="3" t="s">
        <v>8</v>
      </c>
      <c r="F5" s="3" t="s">
        <v>394</v>
      </c>
      <c r="G5" s="442" t="s">
        <v>551</v>
      </c>
      <c r="H5" s="479" t="s">
        <v>632</v>
      </c>
      <c r="I5" s="480" t="s">
        <v>633</v>
      </c>
    </row>
    <row r="6" spans="1:9" ht="27.75" customHeight="1">
      <c r="A6" s="53">
        <v>1</v>
      </c>
      <c r="B6" s="53">
        <v>1251</v>
      </c>
      <c r="C6" s="67" t="s">
        <v>9</v>
      </c>
      <c r="D6" s="68" t="s">
        <v>560</v>
      </c>
      <c r="E6" s="68">
        <v>9840850744</v>
      </c>
      <c r="F6" s="444">
        <v>42387</v>
      </c>
      <c r="G6" s="469">
        <f t="shared" ref="G6:G28" ca="1" si="0">DATEDIF(F6,TODAY(),"y")</f>
        <v>10</v>
      </c>
      <c r="H6" s="467" t="s">
        <v>11</v>
      </c>
      <c r="I6" s="471" t="s">
        <v>624</v>
      </c>
    </row>
    <row r="7" spans="1:9" ht="15.75" customHeight="1">
      <c r="A7" s="53">
        <v>2</v>
      </c>
      <c r="B7" s="53">
        <v>308</v>
      </c>
      <c r="C7" s="67" t="s">
        <v>299</v>
      </c>
      <c r="D7" s="68" t="s">
        <v>19</v>
      </c>
      <c r="E7" s="68">
        <v>9908823834</v>
      </c>
      <c r="F7" s="444">
        <v>39259</v>
      </c>
      <c r="G7" s="469">
        <f t="shared" ca="1" si="0"/>
        <v>18</v>
      </c>
      <c r="H7" s="472" t="s">
        <v>584</v>
      </c>
      <c r="I7" s="471"/>
    </row>
    <row r="8" spans="1:9" ht="15.75" customHeight="1">
      <c r="A8" s="53">
        <v>3</v>
      </c>
      <c r="B8" s="53">
        <v>1182</v>
      </c>
      <c r="C8" s="70" t="s">
        <v>26</v>
      </c>
      <c r="D8" s="71" t="s">
        <v>396</v>
      </c>
      <c r="E8" s="68">
        <v>9676354404</v>
      </c>
      <c r="F8" s="475">
        <v>42193</v>
      </c>
      <c r="G8" s="476">
        <f t="shared" ca="1" si="0"/>
        <v>10</v>
      </c>
      <c r="H8" s="477" t="s">
        <v>28</v>
      </c>
      <c r="I8" s="471" t="s">
        <v>626</v>
      </c>
    </row>
    <row r="9" spans="1:9" ht="15.75" customHeight="1">
      <c r="A9" s="53">
        <v>4</v>
      </c>
      <c r="B9" s="53">
        <v>2827</v>
      </c>
      <c r="C9" s="55" t="s">
        <v>279</v>
      </c>
      <c r="D9" s="71" t="s">
        <v>19</v>
      </c>
      <c r="E9" s="68">
        <v>8085575111</v>
      </c>
      <c r="F9" s="95">
        <v>45495</v>
      </c>
      <c r="G9" s="469">
        <f t="shared" ca="1" si="0"/>
        <v>1</v>
      </c>
      <c r="H9" s="472" t="s">
        <v>585</v>
      </c>
      <c r="I9" s="471"/>
    </row>
    <row r="10" spans="1:9" ht="15.75" customHeight="1">
      <c r="A10" s="53">
        <v>5</v>
      </c>
      <c r="B10" s="53">
        <v>523</v>
      </c>
      <c r="C10" s="73" t="s">
        <v>382</v>
      </c>
      <c r="D10" s="71" t="s">
        <v>180</v>
      </c>
      <c r="E10" s="53">
        <v>9441536410</v>
      </c>
      <c r="F10" s="446">
        <v>40025</v>
      </c>
      <c r="G10" s="469">
        <f t="shared" ca="1" si="0"/>
        <v>16</v>
      </c>
      <c r="H10" s="472" t="s">
        <v>591</v>
      </c>
      <c r="I10" s="471" t="s">
        <v>631</v>
      </c>
    </row>
    <row r="11" spans="1:9" ht="15.75" customHeight="1">
      <c r="A11" s="53">
        <v>6</v>
      </c>
      <c r="B11" s="53">
        <v>312</v>
      </c>
      <c r="C11" s="67" t="s">
        <v>42</v>
      </c>
      <c r="D11" s="481" t="s">
        <v>180</v>
      </c>
      <c r="E11" s="68">
        <v>8297208489</v>
      </c>
      <c r="F11" s="475">
        <v>40206</v>
      </c>
      <c r="G11" s="476">
        <f t="shared" ca="1" si="0"/>
        <v>16</v>
      </c>
      <c r="H11" s="477" t="s">
        <v>43</v>
      </c>
      <c r="I11" s="471" t="s">
        <v>617</v>
      </c>
    </row>
    <row r="12" spans="1:9" ht="15.75" customHeight="1">
      <c r="A12" s="53">
        <v>7</v>
      </c>
      <c r="B12" s="53">
        <v>2090</v>
      </c>
      <c r="C12" s="54" t="s">
        <v>33</v>
      </c>
      <c r="D12" s="71" t="s">
        <v>180</v>
      </c>
      <c r="E12" s="68">
        <v>9441540580</v>
      </c>
      <c r="F12" s="475">
        <v>44107</v>
      </c>
      <c r="G12" s="476">
        <f t="shared" ca="1" si="0"/>
        <v>5</v>
      </c>
      <c r="H12" s="477" t="s">
        <v>35</v>
      </c>
      <c r="I12" s="471" t="s">
        <v>595</v>
      </c>
    </row>
    <row r="13" spans="1:9" ht="15.75" customHeight="1">
      <c r="A13" s="53">
        <v>8</v>
      </c>
      <c r="B13" s="53">
        <v>540</v>
      </c>
      <c r="C13" s="67" t="s">
        <v>378</v>
      </c>
      <c r="D13" s="71" t="s">
        <v>180</v>
      </c>
      <c r="E13" s="68">
        <v>9550367172</v>
      </c>
      <c r="F13" s="446">
        <v>40032</v>
      </c>
      <c r="G13" s="469">
        <f t="shared" ca="1" si="0"/>
        <v>16</v>
      </c>
      <c r="H13" s="472" t="s">
        <v>597</v>
      </c>
      <c r="I13" s="471" t="s">
        <v>595</v>
      </c>
    </row>
    <row r="14" spans="1:9" ht="15.75" customHeight="1">
      <c r="A14" s="53">
        <v>9</v>
      </c>
      <c r="B14" s="53">
        <v>2490</v>
      </c>
      <c r="C14" s="55" t="s">
        <v>83</v>
      </c>
      <c r="D14" s="68" t="s">
        <v>157</v>
      </c>
      <c r="E14" s="53">
        <v>9848129660</v>
      </c>
      <c r="F14" s="446">
        <v>45084</v>
      </c>
      <c r="G14" s="469">
        <f t="shared" ca="1" si="0"/>
        <v>2</v>
      </c>
      <c r="H14" s="472" t="s">
        <v>593</v>
      </c>
      <c r="I14" s="471" t="s">
        <v>594</v>
      </c>
    </row>
    <row r="15" spans="1:9" ht="15.75" customHeight="1">
      <c r="A15" s="53">
        <v>10</v>
      </c>
      <c r="B15" s="53">
        <v>2499</v>
      </c>
      <c r="C15" s="73" t="s">
        <v>221</v>
      </c>
      <c r="D15" s="68" t="s">
        <v>157</v>
      </c>
      <c r="E15" s="53">
        <v>9994476533</v>
      </c>
      <c r="F15" s="95">
        <v>45103</v>
      </c>
      <c r="G15" s="469">
        <f t="shared" ca="1" si="0"/>
        <v>2</v>
      </c>
      <c r="H15" s="472" t="s">
        <v>613</v>
      </c>
      <c r="I15" s="471" t="s">
        <v>614</v>
      </c>
    </row>
    <row r="16" spans="1:9" ht="15.75" customHeight="1">
      <c r="A16" s="53">
        <v>11</v>
      </c>
      <c r="B16" s="53">
        <v>2501</v>
      </c>
      <c r="C16" s="55" t="s">
        <v>101</v>
      </c>
      <c r="D16" s="68" t="s">
        <v>157</v>
      </c>
      <c r="E16" s="53">
        <v>9848052474</v>
      </c>
      <c r="F16" s="95">
        <v>45103</v>
      </c>
      <c r="G16" s="469">
        <f t="shared" ca="1" si="0"/>
        <v>2</v>
      </c>
      <c r="H16" s="472" t="s">
        <v>596</v>
      </c>
      <c r="I16" s="471"/>
    </row>
    <row r="17" spans="1:9" ht="15.75" customHeight="1">
      <c r="A17" s="53">
        <v>12</v>
      </c>
      <c r="B17" s="53">
        <v>2541</v>
      </c>
      <c r="C17" s="54" t="s">
        <v>127</v>
      </c>
      <c r="D17" s="68" t="s">
        <v>157</v>
      </c>
      <c r="E17" s="53">
        <v>7981738522</v>
      </c>
      <c r="F17" s="446">
        <v>45139</v>
      </c>
      <c r="G17" s="469">
        <f t="shared" ca="1" si="0"/>
        <v>2</v>
      </c>
      <c r="H17" s="472" t="s">
        <v>615</v>
      </c>
      <c r="I17" s="471" t="s">
        <v>616</v>
      </c>
    </row>
    <row r="18" spans="1:9" ht="15.75" customHeight="1">
      <c r="A18" s="53">
        <v>13</v>
      </c>
      <c r="B18" s="71">
        <v>2689</v>
      </c>
      <c r="C18" s="447" t="s">
        <v>154</v>
      </c>
      <c r="D18" s="68" t="s">
        <v>157</v>
      </c>
      <c r="E18" s="56">
        <v>7006157037</v>
      </c>
      <c r="F18" s="446">
        <v>45289</v>
      </c>
      <c r="G18" s="469">
        <f t="shared" ca="1" si="0"/>
        <v>2</v>
      </c>
      <c r="H18" s="472" t="s">
        <v>588</v>
      </c>
      <c r="I18" s="471" t="s">
        <v>630</v>
      </c>
    </row>
    <row r="19" spans="1:9" ht="15.75" customHeight="1">
      <c r="A19" s="53">
        <v>14</v>
      </c>
      <c r="B19" s="53">
        <v>2947</v>
      </c>
      <c r="C19" s="73" t="s">
        <v>204</v>
      </c>
      <c r="D19" s="68" t="s">
        <v>157</v>
      </c>
      <c r="E19" s="53">
        <v>9032045840</v>
      </c>
      <c r="F19" s="446">
        <v>45632</v>
      </c>
      <c r="G19" s="469">
        <f t="shared" ca="1" si="0"/>
        <v>1</v>
      </c>
      <c r="H19" s="472" t="s">
        <v>587</v>
      </c>
      <c r="I19" s="471"/>
    </row>
    <row r="20" spans="1:9" ht="15.75" customHeight="1">
      <c r="A20" s="53">
        <v>15</v>
      </c>
      <c r="B20" s="75" t="s">
        <v>397</v>
      </c>
      <c r="C20" s="70" t="s">
        <v>67</v>
      </c>
      <c r="D20" s="71" t="s">
        <v>68</v>
      </c>
      <c r="E20" s="53">
        <v>9614547390</v>
      </c>
      <c r="F20" s="445">
        <v>45014</v>
      </c>
      <c r="G20" s="469">
        <f t="shared" ca="1" si="0"/>
        <v>3</v>
      </c>
      <c r="H20" s="472" t="s">
        <v>622</v>
      </c>
      <c r="I20" s="471" t="s">
        <v>623</v>
      </c>
    </row>
    <row r="21" spans="1:9" ht="15.75" customHeight="1">
      <c r="A21" s="53">
        <v>16</v>
      </c>
      <c r="B21" s="53">
        <v>2454</v>
      </c>
      <c r="C21" s="54" t="s">
        <v>318</v>
      </c>
      <c r="D21" s="71" t="s">
        <v>68</v>
      </c>
      <c r="E21" s="53">
        <v>7729990303</v>
      </c>
      <c r="F21" s="445">
        <v>45047</v>
      </c>
      <c r="G21" s="469">
        <f t="shared" ca="1" si="0"/>
        <v>2</v>
      </c>
      <c r="H21" s="468" t="s">
        <v>74</v>
      </c>
      <c r="I21" s="471" t="s">
        <v>627</v>
      </c>
    </row>
    <row r="22" spans="1:9" ht="15.75" customHeight="1">
      <c r="A22" s="53">
        <v>17</v>
      </c>
      <c r="B22" s="53">
        <v>2502</v>
      </c>
      <c r="C22" s="55" t="s">
        <v>359</v>
      </c>
      <c r="D22" s="71" t="s">
        <v>68</v>
      </c>
      <c r="E22" s="53">
        <v>9600605782</v>
      </c>
      <c r="F22" s="95">
        <v>45105</v>
      </c>
      <c r="G22" s="469">
        <f t="shared" ca="1" si="0"/>
        <v>2</v>
      </c>
      <c r="H22" s="472" t="s">
        <v>618</v>
      </c>
      <c r="I22" s="471" t="s">
        <v>619</v>
      </c>
    </row>
    <row r="23" spans="1:9" ht="15.75" customHeight="1">
      <c r="A23" s="53">
        <v>18</v>
      </c>
      <c r="B23" s="53">
        <v>2514</v>
      </c>
      <c r="C23" s="55" t="s">
        <v>113</v>
      </c>
      <c r="D23" s="71" t="s">
        <v>68</v>
      </c>
      <c r="E23" s="53">
        <v>9500312191</v>
      </c>
      <c r="F23" s="95">
        <v>45117</v>
      </c>
      <c r="G23" s="469">
        <f t="shared" ca="1" si="0"/>
        <v>2</v>
      </c>
      <c r="H23" s="472" t="s">
        <v>586</v>
      </c>
      <c r="I23" s="471" t="s">
        <v>628</v>
      </c>
    </row>
    <row r="24" spans="1:9" ht="15.75" customHeight="1">
      <c r="A24" s="53">
        <v>19</v>
      </c>
      <c r="B24" s="53">
        <v>2519</v>
      </c>
      <c r="C24" s="55" t="s">
        <v>120</v>
      </c>
      <c r="D24" s="71" t="s">
        <v>68</v>
      </c>
      <c r="E24" s="71">
        <v>8978116834</v>
      </c>
      <c r="F24" s="446">
        <v>45121</v>
      </c>
      <c r="G24" s="469">
        <f t="shared" ca="1" si="0"/>
        <v>2</v>
      </c>
      <c r="H24" s="472" t="s">
        <v>590</v>
      </c>
      <c r="I24" s="471"/>
    </row>
    <row r="25" spans="1:9" ht="15.75" customHeight="1">
      <c r="A25" s="53">
        <v>20</v>
      </c>
      <c r="B25" s="53">
        <v>2934</v>
      </c>
      <c r="C25" s="73" t="s">
        <v>193</v>
      </c>
      <c r="D25" s="71" t="s">
        <v>68</v>
      </c>
      <c r="E25" s="56">
        <v>9440664462</v>
      </c>
      <c r="F25" s="446">
        <v>45600</v>
      </c>
      <c r="G25" s="469">
        <f t="shared" ca="1" si="0"/>
        <v>1</v>
      </c>
      <c r="H25" s="472" t="s">
        <v>620</v>
      </c>
      <c r="I25" s="471" t="s">
        <v>621</v>
      </c>
    </row>
    <row r="26" spans="1:9" ht="15.75" customHeight="1">
      <c r="A26" s="53">
        <v>21</v>
      </c>
      <c r="B26" s="53">
        <v>3080</v>
      </c>
      <c r="C26" s="448" t="s">
        <v>398</v>
      </c>
      <c r="D26" s="71" t="s">
        <v>68</v>
      </c>
      <c r="E26" s="56">
        <v>6300921477</v>
      </c>
      <c r="F26" s="446" t="s">
        <v>399</v>
      </c>
      <c r="G26" s="469">
        <v>0</v>
      </c>
      <c r="H26" s="472" t="s">
        <v>93</v>
      </c>
      <c r="I26" s="471" t="s">
        <v>625</v>
      </c>
    </row>
    <row r="27" spans="1:9" ht="15.75" customHeight="1">
      <c r="A27" s="53">
        <v>22</v>
      </c>
      <c r="B27" s="449" t="s">
        <v>420</v>
      </c>
      <c r="C27" s="448" t="s">
        <v>415</v>
      </c>
      <c r="D27" s="71" t="s">
        <v>68</v>
      </c>
      <c r="E27" s="56">
        <v>9492688417</v>
      </c>
      <c r="F27" s="446" t="s">
        <v>421</v>
      </c>
      <c r="G27" s="469">
        <v>0</v>
      </c>
      <c r="H27" s="472" t="s">
        <v>592</v>
      </c>
      <c r="I27" s="471"/>
    </row>
    <row r="28" spans="1:9" ht="15.75" customHeight="1">
      <c r="A28" s="53">
        <v>23</v>
      </c>
      <c r="B28" s="53">
        <v>3205</v>
      </c>
      <c r="C28" s="448" t="s">
        <v>556</v>
      </c>
      <c r="D28" s="53" t="s">
        <v>68</v>
      </c>
      <c r="E28" s="56">
        <v>9494841792</v>
      </c>
      <c r="F28" s="446">
        <v>45838</v>
      </c>
      <c r="G28" s="469">
        <f t="shared" ca="1" si="0"/>
        <v>0</v>
      </c>
      <c r="H28" s="472" t="s">
        <v>589</v>
      </c>
      <c r="I28" s="471"/>
    </row>
    <row r="29" spans="1:9" ht="15.75" customHeight="1">
      <c r="A29" s="53">
        <v>24</v>
      </c>
      <c r="B29" s="53">
        <v>1181</v>
      </c>
      <c r="C29" s="70" t="s">
        <v>55</v>
      </c>
      <c r="D29" s="71" t="s">
        <v>68</v>
      </c>
      <c r="E29" s="68">
        <v>9493670612</v>
      </c>
      <c r="F29" s="445">
        <v>42193</v>
      </c>
      <c r="G29" s="469">
        <f t="shared" ref="G29:G37" ca="1" si="1">DATEDIF(F29,TODAY(),"y")</f>
        <v>10</v>
      </c>
      <c r="H29" s="472" t="s">
        <v>605</v>
      </c>
      <c r="I29" s="471" t="s">
        <v>611</v>
      </c>
    </row>
    <row r="30" spans="1:9" ht="15.75" customHeight="1">
      <c r="A30" s="53">
        <v>25</v>
      </c>
      <c r="B30" s="53">
        <v>1243</v>
      </c>
      <c r="C30" s="70" t="s">
        <v>58</v>
      </c>
      <c r="D30" s="71" t="s">
        <v>68</v>
      </c>
      <c r="E30" s="68">
        <v>8790166779</v>
      </c>
      <c r="F30" s="445">
        <v>42354</v>
      </c>
      <c r="G30" s="469">
        <f t="shared" ca="1" si="1"/>
        <v>10</v>
      </c>
      <c r="H30" s="472" t="s">
        <v>108</v>
      </c>
      <c r="I30" s="471" t="s">
        <v>598</v>
      </c>
    </row>
    <row r="31" spans="1:9" ht="15.75" customHeight="1">
      <c r="A31" s="53">
        <v>26</v>
      </c>
      <c r="B31" s="79">
        <v>2432</v>
      </c>
      <c r="C31" s="156" t="s">
        <v>280</v>
      </c>
      <c r="D31" s="111" t="s">
        <v>68</v>
      </c>
      <c r="E31" s="79">
        <v>7093243607</v>
      </c>
      <c r="F31" s="95">
        <v>44982</v>
      </c>
      <c r="G31" s="469">
        <f t="shared" ca="1" si="1"/>
        <v>3</v>
      </c>
      <c r="H31" s="472" t="s">
        <v>604</v>
      </c>
      <c r="I31" s="471"/>
    </row>
    <row r="32" spans="1:9" ht="15.75" customHeight="1">
      <c r="A32" s="53">
        <v>27</v>
      </c>
      <c r="B32" s="53">
        <v>2728</v>
      </c>
      <c r="C32" s="55" t="s">
        <v>384</v>
      </c>
      <c r="D32" s="53" t="s">
        <v>582</v>
      </c>
      <c r="E32" s="53">
        <v>7981960066</v>
      </c>
      <c r="F32" s="95">
        <v>45385</v>
      </c>
      <c r="G32" s="469">
        <f t="shared" ca="1" si="1"/>
        <v>2</v>
      </c>
      <c r="H32" s="472" t="s">
        <v>605</v>
      </c>
      <c r="I32" s="471"/>
    </row>
    <row r="33" spans="1:10" ht="15.75" customHeight="1">
      <c r="A33" s="53">
        <v>28</v>
      </c>
      <c r="B33" s="53">
        <v>2765</v>
      </c>
      <c r="C33" s="54" t="s">
        <v>168</v>
      </c>
      <c r="D33" s="71" t="s">
        <v>68</v>
      </c>
      <c r="E33" s="53">
        <v>9788682940</v>
      </c>
      <c r="F33" s="478">
        <v>45453</v>
      </c>
      <c r="G33" s="476">
        <f t="shared" ca="1" si="1"/>
        <v>1</v>
      </c>
      <c r="H33" s="380" t="s">
        <v>606</v>
      </c>
      <c r="I33" s="471" t="s">
        <v>607</v>
      </c>
    </row>
    <row r="34" spans="1:10" ht="15.75" customHeight="1">
      <c r="A34" s="53">
        <v>29</v>
      </c>
      <c r="B34" s="53">
        <v>2512</v>
      </c>
      <c r="C34" s="54" t="s">
        <v>189</v>
      </c>
      <c r="D34" s="71" t="s">
        <v>68</v>
      </c>
      <c r="E34" s="53">
        <v>9292709507</v>
      </c>
      <c r="F34" s="445">
        <v>45117</v>
      </c>
      <c r="G34" s="469">
        <f t="shared" ca="1" si="1"/>
        <v>2</v>
      </c>
      <c r="H34" s="472" t="s">
        <v>602</v>
      </c>
      <c r="I34" s="471"/>
    </row>
    <row r="35" spans="1:10" ht="15.75" customHeight="1">
      <c r="A35" s="53">
        <v>30</v>
      </c>
      <c r="B35" s="53">
        <v>2898</v>
      </c>
      <c r="C35" s="73" t="s">
        <v>190</v>
      </c>
      <c r="D35" s="71" t="s">
        <v>68</v>
      </c>
      <c r="E35" s="53">
        <v>9989895732</v>
      </c>
      <c r="F35" s="446">
        <v>45531</v>
      </c>
      <c r="G35" s="469">
        <f t="shared" ca="1" si="1"/>
        <v>1</v>
      </c>
      <c r="H35" s="472" t="s">
        <v>608</v>
      </c>
      <c r="I35" s="471"/>
    </row>
    <row r="36" spans="1:10" ht="15.75" customHeight="1">
      <c r="A36" s="53">
        <v>31</v>
      </c>
      <c r="B36" s="53">
        <v>2965</v>
      </c>
      <c r="C36" s="73" t="s">
        <v>365</v>
      </c>
      <c r="D36" s="53" t="s">
        <v>582</v>
      </c>
      <c r="E36" s="56">
        <v>9642674547</v>
      </c>
      <c r="F36" s="446">
        <v>45663</v>
      </c>
      <c r="G36" s="469">
        <f t="shared" ca="1" si="1"/>
        <v>1</v>
      </c>
      <c r="H36" s="472" t="s">
        <v>605</v>
      </c>
      <c r="I36" s="471"/>
    </row>
    <row r="37" spans="1:10" ht="15.75" customHeight="1">
      <c r="A37" s="53">
        <v>32</v>
      </c>
      <c r="B37" s="53">
        <v>3038</v>
      </c>
      <c r="C37" s="448" t="s">
        <v>385</v>
      </c>
      <c r="D37" s="53" t="s">
        <v>582</v>
      </c>
      <c r="E37" s="56">
        <v>8330983764</v>
      </c>
      <c r="F37" s="446">
        <v>45742</v>
      </c>
      <c r="G37" s="469">
        <f t="shared" ca="1" si="1"/>
        <v>1</v>
      </c>
      <c r="H37" s="472" t="s">
        <v>599</v>
      </c>
      <c r="I37" s="471"/>
    </row>
    <row r="38" spans="1:10" ht="15.75" customHeight="1">
      <c r="A38" s="53">
        <v>33</v>
      </c>
      <c r="B38" s="53">
        <v>3073</v>
      </c>
      <c r="C38" s="73" t="s">
        <v>400</v>
      </c>
      <c r="D38" s="53" t="s">
        <v>68</v>
      </c>
      <c r="E38" s="56">
        <v>9885657789</v>
      </c>
      <c r="F38" s="56" t="s">
        <v>401</v>
      </c>
      <c r="G38" s="469">
        <v>0</v>
      </c>
      <c r="H38" s="472" t="s">
        <v>609</v>
      </c>
      <c r="I38" s="471" t="s">
        <v>610</v>
      </c>
    </row>
    <row r="39" spans="1:10" ht="15.75" customHeight="1">
      <c r="A39" s="53">
        <v>34</v>
      </c>
      <c r="B39" s="53">
        <v>3081</v>
      </c>
      <c r="C39" s="73" t="s">
        <v>419</v>
      </c>
      <c r="D39" s="53" t="s">
        <v>68</v>
      </c>
      <c r="E39" s="56">
        <v>7338323477</v>
      </c>
      <c r="F39" s="56" t="s">
        <v>403</v>
      </c>
      <c r="G39" s="469">
        <v>0</v>
      </c>
      <c r="H39" s="472" t="s">
        <v>629</v>
      </c>
      <c r="I39" s="471"/>
    </row>
    <row r="40" spans="1:10" ht="15.75" customHeight="1">
      <c r="A40" s="53">
        <v>35</v>
      </c>
      <c r="B40" s="53">
        <v>3084</v>
      </c>
      <c r="C40" s="73" t="s">
        <v>404</v>
      </c>
      <c r="D40" s="53" t="s">
        <v>582</v>
      </c>
      <c r="E40" s="56">
        <v>9492617314</v>
      </c>
      <c r="F40" s="56" t="s">
        <v>405</v>
      </c>
      <c r="G40" s="469">
        <v>0</v>
      </c>
      <c r="H40" s="472" t="s">
        <v>602</v>
      </c>
      <c r="I40" s="471" t="s">
        <v>603</v>
      </c>
    </row>
    <row r="41" spans="1:10" ht="15.75" customHeight="1">
      <c r="A41" s="53">
        <v>36</v>
      </c>
      <c r="B41" s="53">
        <v>2921</v>
      </c>
      <c r="C41" s="73" t="s">
        <v>364</v>
      </c>
      <c r="D41" s="53" t="s">
        <v>582</v>
      </c>
      <c r="E41" s="56">
        <v>9014766760</v>
      </c>
      <c r="F41" s="446">
        <v>45580</v>
      </c>
      <c r="G41" s="469">
        <f t="shared" ref="G41:G54" ca="1" si="2">DATEDIF(F41,TODAY(),"y")</f>
        <v>1</v>
      </c>
      <c r="H41" s="472" t="s">
        <v>599</v>
      </c>
      <c r="I41" s="471" t="s">
        <v>600</v>
      </c>
    </row>
    <row r="42" spans="1:10" ht="15.75" customHeight="1">
      <c r="A42" s="53">
        <v>37</v>
      </c>
      <c r="B42" s="53">
        <v>3089</v>
      </c>
      <c r="C42" s="73" t="s">
        <v>416</v>
      </c>
      <c r="D42" s="53" t="s">
        <v>582</v>
      </c>
      <c r="E42" s="56">
        <v>8790242128</v>
      </c>
      <c r="F42" s="446">
        <v>45826</v>
      </c>
      <c r="G42" s="469">
        <f t="shared" ca="1" si="2"/>
        <v>0</v>
      </c>
      <c r="H42" s="472" t="s">
        <v>605</v>
      </c>
      <c r="I42" s="471"/>
    </row>
    <row r="43" spans="1:10" ht="15.75" customHeight="1">
      <c r="A43" s="53">
        <v>38</v>
      </c>
      <c r="B43" s="53">
        <v>3129</v>
      </c>
      <c r="C43" s="73" t="s">
        <v>422</v>
      </c>
      <c r="D43" s="53" t="s">
        <v>582</v>
      </c>
      <c r="E43" s="56">
        <v>9491432819</v>
      </c>
      <c r="F43" s="446">
        <v>45845</v>
      </c>
      <c r="G43" s="469">
        <f t="shared" ca="1" si="2"/>
        <v>0</v>
      </c>
      <c r="H43" s="472" t="s">
        <v>599</v>
      </c>
      <c r="I43" s="471"/>
    </row>
    <row r="44" spans="1:10" ht="15.75" customHeight="1">
      <c r="A44" s="53">
        <v>39</v>
      </c>
      <c r="B44" s="53">
        <v>2925</v>
      </c>
      <c r="C44" s="73" t="s">
        <v>369</v>
      </c>
      <c r="D44" s="53" t="s">
        <v>62</v>
      </c>
      <c r="E44" s="56">
        <v>7995794652</v>
      </c>
      <c r="F44" s="446">
        <v>45582</v>
      </c>
      <c r="G44" s="469">
        <f t="shared" ca="1" si="2"/>
        <v>1</v>
      </c>
      <c r="H44" s="472" t="s">
        <v>612</v>
      </c>
      <c r="I44" s="471"/>
    </row>
    <row r="45" spans="1:10" ht="15.75" customHeight="1">
      <c r="A45" s="53">
        <v>40</v>
      </c>
      <c r="B45" s="53">
        <v>2936</v>
      </c>
      <c r="C45" s="73" t="s">
        <v>197</v>
      </c>
      <c r="D45" s="71" t="s">
        <v>198</v>
      </c>
      <c r="E45" s="56">
        <v>8125544167</v>
      </c>
      <c r="F45" s="446">
        <v>45600</v>
      </c>
      <c r="G45" s="469">
        <f t="shared" ca="1" si="2"/>
        <v>1</v>
      </c>
      <c r="H45" s="472" t="s">
        <v>599</v>
      </c>
      <c r="I45" s="471"/>
    </row>
    <row r="46" spans="1:10" ht="15.75" customHeight="1">
      <c r="A46" s="53">
        <v>41</v>
      </c>
      <c r="B46" s="53">
        <v>2950</v>
      </c>
      <c r="C46" s="73" t="s">
        <v>390</v>
      </c>
      <c r="D46" s="71" t="s">
        <v>198</v>
      </c>
      <c r="E46" s="53">
        <v>9000024070</v>
      </c>
      <c r="F46" s="446">
        <v>45638</v>
      </c>
      <c r="G46" s="469">
        <f t="shared" ca="1" si="2"/>
        <v>1</v>
      </c>
      <c r="H46" s="472" t="s">
        <v>599</v>
      </c>
      <c r="I46" s="471"/>
    </row>
    <row r="47" spans="1:10" ht="15.75" customHeight="1">
      <c r="A47" s="53">
        <v>42</v>
      </c>
      <c r="B47" s="53">
        <v>3052</v>
      </c>
      <c r="C47" s="448" t="s">
        <v>202</v>
      </c>
      <c r="D47" s="53" t="s">
        <v>372</v>
      </c>
      <c r="E47" s="56">
        <v>7331142998</v>
      </c>
      <c r="F47" s="446">
        <v>45778</v>
      </c>
      <c r="G47" s="469">
        <f t="shared" ca="1" si="2"/>
        <v>0</v>
      </c>
      <c r="H47" s="472" t="s">
        <v>599</v>
      </c>
      <c r="I47" s="471"/>
    </row>
    <row r="48" spans="1:10" s="451" customFormat="1" ht="15.75" customHeight="1">
      <c r="A48" s="53">
        <v>43</v>
      </c>
      <c r="B48" s="307">
        <v>30410</v>
      </c>
      <c r="C48" s="450" t="s">
        <v>408</v>
      </c>
      <c r="D48" s="53" t="s">
        <v>62</v>
      </c>
      <c r="E48" s="307">
        <v>7995622962</v>
      </c>
      <c r="F48" s="414">
        <v>44928</v>
      </c>
      <c r="G48" s="469">
        <f t="shared" ca="1" si="2"/>
        <v>3</v>
      </c>
      <c r="H48" s="472" t="s">
        <v>599</v>
      </c>
      <c r="I48" s="473"/>
      <c r="J48" s="483"/>
    </row>
    <row r="49" spans="1:10" s="451" customFormat="1" ht="15.75" customHeight="1">
      <c r="A49" s="53">
        <v>44</v>
      </c>
      <c r="B49" s="307">
        <v>30744</v>
      </c>
      <c r="C49" s="450" t="s">
        <v>308</v>
      </c>
      <c r="D49" s="307" t="s">
        <v>309</v>
      </c>
      <c r="E49" s="307">
        <v>8790500801</v>
      </c>
      <c r="F49" s="414">
        <v>45071</v>
      </c>
      <c r="G49" s="469">
        <f t="shared" ca="1" si="2"/>
        <v>2</v>
      </c>
      <c r="H49" s="474" t="s">
        <v>118</v>
      </c>
      <c r="I49" s="473"/>
      <c r="J49" s="483"/>
    </row>
    <row r="50" spans="1:10" s="451" customFormat="1" ht="15.75" customHeight="1">
      <c r="A50" s="53">
        <v>45</v>
      </c>
      <c r="B50" s="307">
        <v>31143</v>
      </c>
      <c r="C50" s="136" t="s">
        <v>575</v>
      </c>
      <c r="D50" s="307" t="s">
        <v>228</v>
      </c>
      <c r="E50" s="307">
        <v>9381279468</v>
      </c>
      <c r="F50" s="429">
        <v>45964</v>
      </c>
      <c r="G50" s="469">
        <f t="shared" ca="1" si="2"/>
        <v>0</v>
      </c>
      <c r="H50" s="474"/>
      <c r="I50" s="473"/>
      <c r="J50" s="485"/>
    </row>
    <row r="51" spans="1:10" s="451" customFormat="1" ht="15.75" customHeight="1">
      <c r="A51" s="53">
        <v>46</v>
      </c>
      <c r="B51" s="53">
        <v>633</v>
      </c>
      <c r="C51" s="54" t="s">
        <v>305</v>
      </c>
      <c r="D51" s="53" t="s">
        <v>320</v>
      </c>
      <c r="E51" s="53">
        <v>9494678628</v>
      </c>
      <c r="F51" s="95">
        <v>40380</v>
      </c>
      <c r="G51" s="470">
        <f t="shared" ca="1" si="2"/>
        <v>15</v>
      </c>
      <c r="H51" s="472" t="s">
        <v>599</v>
      </c>
      <c r="I51" s="473"/>
      <c r="J51" s="483"/>
    </row>
    <row r="52" spans="1:10" s="451" customFormat="1" ht="15.75" customHeight="1">
      <c r="A52" s="53">
        <v>47</v>
      </c>
      <c r="B52" s="53">
        <v>2285</v>
      </c>
      <c r="C52" s="54" t="s">
        <v>306</v>
      </c>
      <c r="D52" s="53" t="s">
        <v>321</v>
      </c>
      <c r="E52" s="53">
        <v>9640066261</v>
      </c>
      <c r="F52" s="95">
        <v>44718</v>
      </c>
      <c r="G52" s="470">
        <f t="shared" ca="1" si="2"/>
        <v>3</v>
      </c>
      <c r="H52" s="474" t="s">
        <v>601</v>
      </c>
      <c r="I52" s="473"/>
      <c r="J52" s="483"/>
    </row>
    <row r="53" spans="1:10" s="451" customFormat="1" ht="15.75" customHeight="1">
      <c r="A53" s="53">
        <v>48</v>
      </c>
      <c r="B53" s="53">
        <v>31128</v>
      </c>
      <c r="C53" s="55" t="s">
        <v>570</v>
      </c>
      <c r="D53" s="56" t="s">
        <v>583</v>
      </c>
      <c r="E53" s="53">
        <v>8341347612</v>
      </c>
      <c r="F53" s="446">
        <v>45947</v>
      </c>
      <c r="G53" s="469">
        <f ca="1">DATEDIF(F53,TODAY(),"y")</f>
        <v>0</v>
      </c>
      <c r="H53" s="472" t="s">
        <v>599</v>
      </c>
      <c r="I53" s="473"/>
      <c r="J53" s="483"/>
    </row>
    <row r="54" spans="1:10" s="451" customFormat="1" ht="15.75" customHeight="1">
      <c r="A54" s="53">
        <v>49</v>
      </c>
      <c r="B54" s="53">
        <v>31168</v>
      </c>
      <c r="C54" s="54" t="s">
        <v>546</v>
      </c>
      <c r="D54" s="53" t="s">
        <v>581</v>
      </c>
      <c r="E54" s="53">
        <v>8074365175</v>
      </c>
      <c r="F54" s="453">
        <v>45993</v>
      </c>
      <c r="G54" s="470">
        <f t="shared" ca="1" si="2"/>
        <v>0</v>
      </c>
      <c r="H54" s="472" t="s">
        <v>599</v>
      </c>
      <c r="I54" s="473"/>
      <c r="J54" s="483"/>
    </row>
    <row r="55" spans="1:10" s="451" customFormat="1" ht="18" customHeight="1">
      <c r="A55" s="454"/>
      <c r="B55" s="454"/>
      <c r="C55" s="430"/>
      <c r="D55" s="454"/>
      <c r="E55" s="454"/>
      <c r="F55" s="431"/>
      <c r="G55" s="443"/>
      <c r="I55" s="466"/>
      <c r="J55" s="483"/>
    </row>
    <row r="56" spans="1:10" s="451" customFormat="1" ht="18" customHeight="1">
      <c r="A56" s="519" t="s">
        <v>47</v>
      </c>
      <c r="B56" s="519"/>
      <c r="C56" s="519"/>
      <c r="D56" s="519"/>
      <c r="E56" s="519"/>
      <c r="F56" s="519"/>
      <c r="G56" s="519"/>
      <c r="I56" s="466"/>
      <c r="J56" s="483"/>
    </row>
    <row r="57" spans="1:10" s="451" customFormat="1" ht="18" customHeight="1">
      <c r="A57" s="520" t="s">
        <v>274</v>
      </c>
      <c r="B57" s="520"/>
      <c r="C57" s="520"/>
      <c r="D57" s="520"/>
      <c r="E57" s="520"/>
      <c r="F57" s="520"/>
      <c r="G57" s="520"/>
      <c r="I57" s="466"/>
      <c r="J57" s="483"/>
    </row>
    <row r="58" spans="1:10" ht="18" customHeight="1">
      <c r="A58" s="585" t="s">
        <v>566</v>
      </c>
      <c r="B58" s="585"/>
      <c r="C58" s="585"/>
      <c r="D58" s="585"/>
      <c r="E58" s="585"/>
      <c r="F58" s="585"/>
      <c r="G58" s="585"/>
    </row>
    <row r="59" spans="1:10" ht="18" customHeight="1">
      <c r="A59" s="534"/>
      <c r="B59" s="534"/>
      <c r="C59" s="534"/>
      <c r="D59" s="534"/>
      <c r="E59" s="534"/>
      <c r="F59" s="534"/>
      <c r="G59" s="455"/>
    </row>
    <row r="60" spans="1:10" ht="23.25" customHeight="1">
      <c r="A60" s="456" t="s">
        <v>557</v>
      </c>
      <c r="B60" s="456" t="s">
        <v>285</v>
      </c>
      <c r="C60" s="456" t="s">
        <v>446</v>
      </c>
      <c r="D60" s="456" t="s">
        <v>4</v>
      </c>
      <c r="E60" s="3" t="s">
        <v>395</v>
      </c>
      <c r="F60" s="3" t="s">
        <v>394</v>
      </c>
      <c r="G60" s="442" t="s">
        <v>395</v>
      </c>
    </row>
    <row r="61" spans="1:10" ht="18" customHeight="1">
      <c r="A61" s="53">
        <v>1</v>
      </c>
      <c r="B61" s="307">
        <v>30904</v>
      </c>
      <c r="C61" s="55" t="s">
        <v>406</v>
      </c>
      <c r="D61" s="53" t="s">
        <v>62</v>
      </c>
      <c r="E61" s="53">
        <v>8688928251</v>
      </c>
      <c r="F61" s="95">
        <v>45817</v>
      </c>
      <c r="G61" s="442"/>
    </row>
    <row r="62" spans="1:10" ht="18" customHeight="1">
      <c r="A62" s="53">
        <v>2</v>
      </c>
      <c r="B62" s="307">
        <v>30917</v>
      </c>
      <c r="C62" s="55" t="s">
        <v>424</v>
      </c>
      <c r="D62" s="53" t="s">
        <v>62</v>
      </c>
      <c r="E62" s="53">
        <v>7075775397</v>
      </c>
      <c r="F62" s="95">
        <v>45831</v>
      </c>
      <c r="G62" s="457"/>
    </row>
    <row r="63" spans="1:10" ht="18" customHeight="1">
      <c r="A63" s="53">
        <v>3</v>
      </c>
      <c r="B63" s="307">
        <v>30934</v>
      </c>
      <c r="C63" s="55" t="s">
        <v>426</v>
      </c>
      <c r="D63" s="53" t="s">
        <v>62</v>
      </c>
      <c r="E63" s="53">
        <v>7569374895</v>
      </c>
      <c r="F63" s="95">
        <v>45834</v>
      </c>
      <c r="G63" s="457"/>
    </row>
    <row r="64" spans="1:10" ht="18" customHeight="1">
      <c r="A64" s="53">
        <v>4</v>
      </c>
      <c r="B64" s="316">
        <v>30936</v>
      </c>
      <c r="C64" s="110" t="s">
        <v>427</v>
      </c>
      <c r="D64" s="79" t="s">
        <v>62</v>
      </c>
      <c r="E64" s="79">
        <v>8639469394</v>
      </c>
      <c r="F64" s="95">
        <v>45834</v>
      </c>
      <c r="G64" s="457"/>
    </row>
    <row r="65" spans="1:10" ht="18" customHeight="1">
      <c r="A65" s="53">
        <v>5</v>
      </c>
      <c r="B65" s="307">
        <v>30940</v>
      </c>
      <c r="C65" s="55" t="s">
        <v>428</v>
      </c>
      <c r="D65" s="53" t="s">
        <v>62</v>
      </c>
      <c r="E65" s="53">
        <v>9573979580</v>
      </c>
      <c r="F65" s="95">
        <v>45834</v>
      </c>
      <c r="G65" s="457"/>
    </row>
    <row r="66" spans="1:10" ht="18" customHeight="1">
      <c r="A66" s="53">
        <v>6</v>
      </c>
      <c r="B66" s="307">
        <v>30948</v>
      </c>
      <c r="C66" s="55" t="s">
        <v>431</v>
      </c>
      <c r="D66" s="53" t="s">
        <v>62</v>
      </c>
      <c r="E66" s="53">
        <v>8978224170</v>
      </c>
      <c r="F66" s="95">
        <v>45838</v>
      </c>
      <c r="G66" s="457"/>
    </row>
    <row r="67" spans="1:10" ht="18" customHeight="1">
      <c r="A67" s="53">
        <v>7</v>
      </c>
      <c r="B67" s="307">
        <v>30951</v>
      </c>
      <c r="C67" s="55" t="s">
        <v>434</v>
      </c>
      <c r="D67" s="53" t="s">
        <v>62</v>
      </c>
      <c r="E67" s="53">
        <v>9398268887</v>
      </c>
      <c r="F67" s="95">
        <v>45838</v>
      </c>
      <c r="G67" s="457"/>
    </row>
    <row r="68" spans="1:10" ht="18" customHeight="1">
      <c r="A68" s="53">
        <v>8</v>
      </c>
      <c r="B68" s="307">
        <v>30955</v>
      </c>
      <c r="C68" s="55" t="s">
        <v>437</v>
      </c>
      <c r="D68" s="53" t="s">
        <v>62</v>
      </c>
      <c r="E68" s="53">
        <v>6281270604</v>
      </c>
      <c r="F68" s="95">
        <v>45840</v>
      </c>
      <c r="G68" s="457"/>
    </row>
    <row r="69" spans="1:10" ht="18" customHeight="1">
      <c r="A69" s="53">
        <v>9</v>
      </c>
      <c r="B69" s="307">
        <v>30960</v>
      </c>
      <c r="C69" s="55" t="s">
        <v>439</v>
      </c>
      <c r="D69" s="53" t="s">
        <v>62</v>
      </c>
      <c r="E69" s="53">
        <v>9381847839</v>
      </c>
      <c r="F69" s="95">
        <v>45842</v>
      </c>
      <c r="G69" s="457"/>
    </row>
    <row r="70" spans="1:10" ht="18" customHeight="1">
      <c r="A70" s="53">
        <v>10</v>
      </c>
      <c r="B70" s="307">
        <v>30961</v>
      </c>
      <c r="C70" s="55" t="s">
        <v>440</v>
      </c>
      <c r="D70" s="53" t="s">
        <v>62</v>
      </c>
      <c r="E70" s="53">
        <v>6300368240</v>
      </c>
      <c r="F70" s="95">
        <v>45843</v>
      </c>
      <c r="G70" s="457"/>
    </row>
    <row r="71" spans="1:10" ht="18" customHeight="1">
      <c r="A71" s="53">
        <v>11</v>
      </c>
      <c r="B71" s="307">
        <v>30964</v>
      </c>
      <c r="C71" s="55" t="s">
        <v>448</v>
      </c>
      <c r="D71" s="53" t="s">
        <v>62</v>
      </c>
      <c r="E71" s="53">
        <v>9515172678</v>
      </c>
      <c r="F71" s="95" t="s">
        <v>449</v>
      </c>
      <c r="G71" s="457"/>
    </row>
    <row r="72" spans="1:10" ht="18" customHeight="1">
      <c r="A72" s="53">
        <v>12</v>
      </c>
      <c r="B72" s="307">
        <v>30969</v>
      </c>
      <c r="C72" s="54" t="s">
        <v>453</v>
      </c>
      <c r="D72" s="53" t="s">
        <v>62</v>
      </c>
      <c r="E72" s="53">
        <v>8247017365</v>
      </c>
      <c r="F72" s="95" t="s">
        <v>454</v>
      </c>
      <c r="G72" s="457"/>
    </row>
    <row r="73" spans="1:10" ht="18" customHeight="1">
      <c r="A73" s="53">
        <v>13</v>
      </c>
      <c r="B73" s="307">
        <v>30970</v>
      </c>
      <c r="C73" s="54" t="s">
        <v>455</v>
      </c>
      <c r="D73" s="53" t="s">
        <v>62</v>
      </c>
      <c r="E73" s="53">
        <v>8125869185</v>
      </c>
      <c r="F73" s="95" t="s">
        <v>454</v>
      </c>
      <c r="G73" s="457"/>
    </row>
    <row r="74" spans="1:10" ht="18" customHeight="1">
      <c r="A74" s="53">
        <v>14</v>
      </c>
      <c r="B74" s="307">
        <v>30971</v>
      </c>
      <c r="C74" s="54" t="s">
        <v>456</v>
      </c>
      <c r="D74" s="53" t="s">
        <v>62</v>
      </c>
      <c r="E74" s="71">
        <v>9000393290</v>
      </c>
      <c r="F74" s="445">
        <v>45847</v>
      </c>
      <c r="G74" s="458"/>
    </row>
    <row r="75" spans="1:10" ht="18" customHeight="1">
      <c r="A75" s="53">
        <v>15</v>
      </c>
      <c r="B75" s="307">
        <v>30989</v>
      </c>
      <c r="C75" s="54" t="s">
        <v>464</v>
      </c>
      <c r="D75" s="53" t="s">
        <v>62</v>
      </c>
      <c r="E75" s="53">
        <v>7995627385</v>
      </c>
      <c r="F75" s="95" t="s">
        <v>463</v>
      </c>
      <c r="G75" s="457"/>
    </row>
    <row r="76" spans="1:10" ht="18" customHeight="1">
      <c r="A76" s="53">
        <v>16</v>
      </c>
      <c r="B76" s="307">
        <v>30997</v>
      </c>
      <c r="C76" s="54" t="s">
        <v>468</v>
      </c>
      <c r="D76" s="53" t="s">
        <v>62</v>
      </c>
      <c r="E76" s="53">
        <v>7013229574</v>
      </c>
      <c r="F76" s="95" t="s">
        <v>469</v>
      </c>
      <c r="G76" s="457"/>
    </row>
    <row r="77" spans="1:10" ht="18" customHeight="1">
      <c r="A77" s="53">
        <v>17</v>
      </c>
      <c r="B77" s="416">
        <v>30999</v>
      </c>
      <c r="C77" s="417" t="s">
        <v>518</v>
      </c>
      <c r="D77" s="53" t="s">
        <v>62</v>
      </c>
      <c r="E77" s="53">
        <v>9121426349</v>
      </c>
      <c r="F77" s="429">
        <v>45856</v>
      </c>
      <c r="G77" s="457"/>
    </row>
    <row r="78" spans="1:10" ht="18" customHeight="1">
      <c r="A78" s="53">
        <v>18</v>
      </c>
      <c r="B78" s="316">
        <v>31006</v>
      </c>
      <c r="C78" s="156" t="s">
        <v>513</v>
      </c>
      <c r="D78" s="79" t="s">
        <v>62</v>
      </c>
      <c r="E78" s="79">
        <v>8125924512</v>
      </c>
      <c r="F78" s="95">
        <v>45864</v>
      </c>
      <c r="G78" s="457"/>
      <c r="J78" s="482" t="s">
        <v>635</v>
      </c>
    </row>
    <row r="79" spans="1:10" ht="18" customHeight="1">
      <c r="A79" s="53">
        <v>19</v>
      </c>
      <c r="B79" s="316">
        <v>31007</v>
      </c>
      <c r="C79" s="156" t="s">
        <v>516</v>
      </c>
      <c r="D79" s="79" t="s">
        <v>62</v>
      </c>
      <c r="E79" s="79">
        <v>8074825238</v>
      </c>
      <c r="F79" s="95">
        <v>45864</v>
      </c>
      <c r="G79" s="457"/>
      <c r="J79" s="482" t="s">
        <v>636</v>
      </c>
    </row>
    <row r="80" spans="1:10" ht="18" customHeight="1">
      <c r="A80" s="53">
        <v>20</v>
      </c>
      <c r="B80" s="316">
        <v>31008</v>
      </c>
      <c r="C80" s="156" t="s">
        <v>510</v>
      </c>
      <c r="D80" s="79" t="s">
        <v>62</v>
      </c>
      <c r="E80" s="79">
        <v>7416250259</v>
      </c>
      <c r="F80" s="95">
        <v>45864</v>
      </c>
      <c r="G80" s="457"/>
      <c r="J80" s="484">
        <v>46013</v>
      </c>
    </row>
    <row r="81" spans="1:10" ht="18" customHeight="1">
      <c r="A81" s="53">
        <v>21</v>
      </c>
      <c r="B81" s="307">
        <v>31009</v>
      </c>
      <c r="C81" s="54" t="s">
        <v>511</v>
      </c>
      <c r="D81" s="53" t="s">
        <v>62</v>
      </c>
      <c r="E81" s="53">
        <v>9652560279</v>
      </c>
      <c r="F81" s="95">
        <v>45864</v>
      </c>
      <c r="G81" s="457"/>
    </row>
    <row r="82" spans="1:10" ht="18" customHeight="1">
      <c r="A82" s="53">
        <v>22</v>
      </c>
      <c r="B82" s="316">
        <v>31010</v>
      </c>
      <c r="C82" s="156" t="s">
        <v>515</v>
      </c>
      <c r="D82" s="79" t="s">
        <v>62</v>
      </c>
      <c r="E82" s="79">
        <v>6303868693</v>
      </c>
      <c r="F82" s="95">
        <v>45866</v>
      </c>
      <c r="G82" s="457"/>
      <c r="J82" s="484">
        <v>46013</v>
      </c>
    </row>
    <row r="83" spans="1:10" ht="18" customHeight="1">
      <c r="A83" s="53">
        <v>23</v>
      </c>
      <c r="B83" s="316">
        <v>31011</v>
      </c>
      <c r="C83" s="110" t="s">
        <v>514</v>
      </c>
      <c r="D83" s="79" t="s">
        <v>62</v>
      </c>
      <c r="E83" s="79">
        <v>7901533265</v>
      </c>
      <c r="F83" s="95">
        <v>45866</v>
      </c>
      <c r="G83" s="457"/>
      <c r="J83" s="482" t="s">
        <v>634</v>
      </c>
    </row>
    <row r="84" spans="1:10" ht="18" customHeight="1">
      <c r="A84" s="53">
        <v>24</v>
      </c>
      <c r="B84" s="307">
        <v>31014</v>
      </c>
      <c r="C84" s="54" t="s">
        <v>509</v>
      </c>
      <c r="D84" s="53" t="s">
        <v>62</v>
      </c>
      <c r="E84" s="53">
        <v>7601073553</v>
      </c>
      <c r="F84" s="446">
        <v>45866</v>
      </c>
      <c r="G84" s="457"/>
    </row>
    <row r="85" spans="1:10" ht="18" customHeight="1">
      <c r="A85" s="53">
        <v>25</v>
      </c>
      <c r="B85" s="307">
        <v>31016</v>
      </c>
      <c r="C85" s="54" t="s">
        <v>508</v>
      </c>
      <c r="D85" s="53" t="s">
        <v>62</v>
      </c>
      <c r="E85" s="53">
        <v>8125941185</v>
      </c>
      <c r="F85" s="95">
        <v>45867</v>
      </c>
      <c r="G85" s="457"/>
    </row>
    <row r="86" spans="1:10" ht="18" customHeight="1">
      <c r="A86" s="53">
        <v>26</v>
      </c>
      <c r="B86" s="307">
        <v>31018</v>
      </c>
      <c r="C86" s="55" t="s">
        <v>517</v>
      </c>
      <c r="D86" s="53" t="s">
        <v>62</v>
      </c>
      <c r="E86" s="53">
        <v>8309517227</v>
      </c>
      <c r="F86" s="95">
        <v>45869</v>
      </c>
      <c r="G86" s="457"/>
    </row>
    <row r="87" spans="1:10" ht="18" customHeight="1">
      <c r="A87" s="53">
        <v>27</v>
      </c>
      <c r="B87" s="316">
        <v>31055</v>
      </c>
      <c r="C87" s="153" t="s">
        <v>521</v>
      </c>
      <c r="D87" s="79" t="s">
        <v>62</v>
      </c>
      <c r="E87" s="79">
        <v>9505237020</v>
      </c>
      <c r="F87" s="446">
        <v>45874</v>
      </c>
      <c r="G87" s="457"/>
      <c r="J87" s="484">
        <v>46013</v>
      </c>
    </row>
    <row r="88" spans="1:10" ht="18" customHeight="1">
      <c r="A88" s="53">
        <v>28</v>
      </c>
      <c r="B88" s="316">
        <v>31056</v>
      </c>
      <c r="C88" s="156" t="s">
        <v>524</v>
      </c>
      <c r="D88" s="79" t="s">
        <v>62</v>
      </c>
      <c r="E88" s="79">
        <v>9390166821</v>
      </c>
      <c r="F88" s="95">
        <v>45880</v>
      </c>
      <c r="G88" s="457"/>
    </row>
    <row r="89" spans="1:10" ht="18" customHeight="1">
      <c r="A89" s="53">
        <v>29</v>
      </c>
      <c r="B89" s="316">
        <v>31058</v>
      </c>
      <c r="C89" s="156" t="s">
        <v>579</v>
      </c>
      <c r="D89" s="79" t="s">
        <v>62</v>
      </c>
      <c r="E89" s="79">
        <v>9550763660</v>
      </c>
      <c r="F89" s="446">
        <v>45881</v>
      </c>
      <c r="G89" s="457"/>
    </row>
    <row r="90" spans="1:10" ht="18" customHeight="1">
      <c r="A90" s="53">
        <v>30</v>
      </c>
      <c r="B90" s="163">
        <v>31070</v>
      </c>
      <c r="C90" s="418" t="s">
        <v>548</v>
      </c>
      <c r="D90" s="53" t="s">
        <v>62</v>
      </c>
      <c r="E90" s="53">
        <v>9030272655</v>
      </c>
      <c r="F90" s="446">
        <v>45891</v>
      </c>
      <c r="G90" s="457"/>
    </row>
    <row r="91" spans="1:10" ht="18" customHeight="1">
      <c r="A91" s="53">
        <v>31</v>
      </c>
      <c r="B91" s="307">
        <v>31071</v>
      </c>
      <c r="C91" s="418" t="s">
        <v>549</v>
      </c>
      <c r="D91" s="53" t="s">
        <v>62</v>
      </c>
      <c r="E91" s="53">
        <v>8019998514</v>
      </c>
      <c r="F91" s="445">
        <v>45891</v>
      </c>
      <c r="G91" s="459"/>
      <c r="I91" s="452"/>
    </row>
    <row r="92" spans="1:10" ht="18" customHeight="1">
      <c r="A92" s="53">
        <v>32</v>
      </c>
      <c r="B92" s="163">
        <v>31082</v>
      </c>
      <c r="C92" s="418" t="s">
        <v>547</v>
      </c>
      <c r="D92" s="53" t="s">
        <v>62</v>
      </c>
      <c r="E92" s="53">
        <v>9848498113</v>
      </c>
      <c r="F92" s="446">
        <v>45894</v>
      </c>
      <c r="G92" s="457"/>
    </row>
    <row r="93" spans="1:10" ht="18" customHeight="1">
      <c r="A93" s="53">
        <v>33</v>
      </c>
      <c r="B93" s="307">
        <v>31097</v>
      </c>
      <c r="C93" s="418" t="s">
        <v>552</v>
      </c>
      <c r="D93" s="53" t="s">
        <v>62</v>
      </c>
      <c r="E93" s="53">
        <v>6303002424</v>
      </c>
      <c r="F93" s="95">
        <v>45901</v>
      </c>
      <c r="G93" s="457"/>
    </row>
    <row r="94" spans="1:10" ht="18" customHeight="1">
      <c r="A94" s="53">
        <v>34</v>
      </c>
      <c r="B94" s="307">
        <v>31133</v>
      </c>
      <c r="C94" s="419" t="s">
        <v>569</v>
      </c>
      <c r="D94" s="53" t="s">
        <v>62</v>
      </c>
      <c r="E94" s="53">
        <v>8341185708</v>
      </c>
      <c r="F94" s="446">
        <v>45955</v>
      </c>
      <c r="G94" s="460"/>
    </row>
    <row r="95" spans="1:10" ht="18" customHeight="1">
      <c r="A95" s="81"/>
      <c r="D95" s="81"/>
      <c r="E95" s="82"/>
    </row>
    <row r="96" spans="1:10" ht="18" customHeight="1">
      <c r="B96" s="84"/>
      <c r="E96" s="82"/>
    </row>
    <row r="97" spans="1:10" ht="18" customHeight="1">
      <c r="A97" s="518" t="s">
        <v>323</v>
      </c>
      <c r="B97" s="518"/>
      <c r="C97" s="518"/>
      <c r="D97" s="518"/>
      <c r="E97" s="518"/>
      <c r="F97" s="518"/>
    </row>
    <row r="98" spans="1:10" s="451" customFormat="1" ht="18" customHeight="1">
      <c r="A98" s="307">
        <v>1</v>
      </c>
      <c r="B98" s="461">
        <v>2646</v>
      </c>
      <c r="C98" s="447" t="s">
        <v>245</v>
      </c>
      <c r="D98" s="461" t="s">
        <v>267</v>
      </c>
      <c r="E98" s="307">
        <v>6300035358</v>
      </c>
      <c r="F98" s="462">
        <v>45253</v>
      </c>
      <c r="I98" s="466"/>
      <c r="J98" s="483"/>
    </row>
    <row r="99" spans="1:10" s="451" customFormat="1" ht="18" customHeight="1">
      <c r="A99" s="307">
        <v>2</v>
      </c>
      <c r="B99" s="461">
        <v>2686</v>
      </c>
      <c r="C99" s="447" t="s">
        <v>268</v>
      </c>
      <c r="D99" s="461" t="s">
        <v>267</v>
      </c>
      <c r="E99" s="307">
        <v>8247346900</v>
      </c>
      <c r="F99" s="462">
        <v>45282</v>
      </c>
      <c r="I99" s="466"/>
      <c r="J99" s="483"/>
    </row>
    <row r="100" spans="1:10" s="451" customFormat="1" ht="18" customHeight="1">
      <c r="A100" s="307">
        <v>3</v>
      </c>
      <c r="B100" s="461">
        <v>2852</v>
      </c>
      <c r="C100" s="447" t="s">
        <v>205</v>
      </c>
      <c r="D100" s="461" t="s">
        <v>147</v>
      </c>
      <c r="E100" s="307">
        <v>7981683088</v>
      </c>
      <c r="F100" s="462">
        <v>45513</v>
      </c>
      <c r="I100" s="466"/>
      <c r="J100" s="483"/>
    </row>
    <row r="101" spans="1:10" s="451" customFormat="1" ht="18" customHeight="1">
      <c r="A101" s="307">
        <v>4</v>
      </c>
      <c r="B101" s="461">
        <v>2932</v>
      </c>
      <c r="C101" s="447" t="s">
        <v>207</v>
      </c>
      <c r="D101" s="461" t="s">
        <v>147</v>
      </c>
      <c r="E101" s="307">
        <v>7672052900</v>
      </c>
      <c r="F101" s="462">
        <v>45597</v>
      </c>
      <c r="I101" s="466"/>
      <c r="J101" s="483"/>
    </row>
    <row r="102" spans="1:10" s="451" customFormat="1" ht="18" customHeight="1">
      <c r="A102" s="307">
        <v>5</v>
      </c>
      <c r="B102" s="461">
        <v>2935</v>
      </c>
      <c r="C102" s="447" t="s">
        <v>208</v>
      </c>
      <c r="D102" s="461" t="s">
        <v>147</v>
      </c>
      <c r="E102" s="307">
        <v>9948686959</v>
      </c>
      <c r="F102" s="462">
        <v>45600</v>
      </c>
      <c r="I102" s="466"/>
      <c r="J102" s="483"/>
    </row>
    <row r="103" spans="1:10" s="451" customFormat="1" ht="18" customHeight="1">
      <c r="A103" s="307">
        <v>6</v>
      </c>
      <c r="B103" s="461">
        <v>2940</v>
      </c>
      <c r="C103" s="447" t="s">
        <v>209</v>
      </c>
      <c r="D103" s="461" t="s">
        <v>147</v>
      </c>
      <c r="E103" s="307">
        <v>7799595004</v>
      </c>
      <c r="F103" s="462">
        <v>45610</v>
      </c>
      <c r="I103" s="466"/>
      <c r="J103" s="483"/>
    </row>
    <row r="104" spans="1:10" s="451" customFormat="1" ht="18" customHeight="1">
      <c r="A104" s="307">
        <v>7</v>
      </c>
      <c r="B104" s="461">
        <v>2952</v>
      </c>
      <c r="C104" s="448" t="s">
        <v>210</v>
      </c>
      <c r="D104" s="461" t="s">
        <v>147</v>
      </c>
      <c r="E104" s="307">
        <v>6302946907</v>
      </c>
      <c r="F104" s="403" t="s">
        <v>411</v>
      </c>
      <c r="I104" s="466"/>
      <c r="J104" s="483"/>
    </row>
    <row r="105" spans="1:10" s="451" customFormat="1" ht="18" customHeight="1">
      <c r="A105" s="307">
        <v>8</v>
      </c>
      <c r="B105" s="461">
        <v>3023</v>
      </c>
      <c r="C105" s="448" t="s">
        <v>211</v>
      </c>
      <c r="D105" s="461" t="s">
        <v>147</v>
      </c>
      <c r="E105" s="307">
        <v>9182194446</v>
      </c>
      <c r="F105" s="462">
        <v>45726</v>
      </c>
      <c r="I105" s="466"/>
      <c r="J105" s="483"/>
    </row>
    <row r="106" spans="1:10" s="451" customFormat="1" ht="18" customHeight="1">
      <c r="A106" s="307">
        <v>9</v>
      </c>
      <c r="B106" s="307">
        <v>3032</v>
      </c>
      <c r="C106" s="448" t="s">
        <v>470</v>
      </c>
      <c r="D106" s="461" t="s">
        <v>147</v>
      </c>
      <c r="E106" s="403">
        <v>8341287184</v>
      </c>
      <c r="F106" s="403" t="s">
        <v>412</v>
      </c>
      <c r="I106" s="466"/>
      <c r="J106" s="483"/>
    </row>
    <row r="107" spans="1:10" s="451" customFormat="1" ht="18" customHeight="1">
      <c r="A107" s="307">
        <v>10</v>
      </c>
      <c r="B107" s="307">
        <v>3033</v>
      </c>
      <c r="C107" s="448" t="s">
        <v>471</v>
      </c>
      <c r="D107" s="461" t="s">
        <v>147</v>
      </c>
      <c r="E107" s="403">
        <v>9569464941</v>
      </c>
      <c r="F107" s="403" t="s">
        <v>413</v>
      </c>
      <c r="I107" s="466"/>
      <c r="J107" s="483"/>
    </row>
    <row r="108" spans="1:10" s="451" customFormat="1" ht="18" customHeight="1">
      <c r="A108" s="307">
        <v>11</v>
      </c>
      <c r="B108" s="307">
        <v>3128</v>
      </c>
      <c r="C108" s="448" t="s">
        <v>472</v>
      </c>
      <c r="D108" s="461" t="s">
        <v>147</v>
      </c>
      <c r="E108" s="403">
        <v>9492426713</v>
      </c>
      <c r="F108" s="403" t="s">
        <v>473</v>
      </c>
      <c r="I108" s="466"/>
      <c r="J108" s="483"/>
    </row>
    <row r="109" spans="1:10" s="451" customFormat="1" ht="18" customHeight="1">
      <c r="A109" s="307">
        <v>12</v>
      </c>
      <c r="B109" s="307">
        <v>3133</v>
      </c>
      <c r="C109" s="402" t="s">
        <v>474</v>
      </c>
      <c r="D109" s="461" t="s">
        <v>147</v>
      </c>
      <c r="E109" s="403">
        <v>7013885810</v>
      </c>
      <c r="F109" s="462">
        <v>45853</v>
      </c>
      <c r="I109" s="466"/>
      <c r="J109" s="483"/>
    </row>
    <row r="110" spans="1:10" s="451" customFormat="1" ht="18" customHeight="1">
      <c r="A110" s="307">
        <v>13</v>
      </c>
      <c r="B110" s="307">
        <v>3202</v>
      </c>
      <c r="C110" s="448" t="s">
        <v>555</v>
      </c>
      <c r="D110" s="461" t="s">
        <v>147</v>
      </c>
      <c r="E110" s="403" t="s">
        <v>554</v>
      </c>
      <c r="F110" s="429">
        <v>45918</v>
      </c>
      <c r="I110" s="466"/>
      <c r="J110" s="483"/>
    </row>
    <row r="111" spans="1:10" s="451" customFormat="1" ht="18" customHeight="1">
      <c r="A111" s="427"/>
      <c r="B111" s="428"/>
      <c r="C111" s="427"/>
      <c r="D111" s="427"/>
      <c r="E111" s="427"/>
      <c r="F111" s="463"/>
      <c r="I111" s="466"/>
      <c r="J111" s="483"/>
    </row>
    <row r="112" spans="1:10" ht="18" customHeight="1">
      <c r="A112" s="534"/>
      <c r="B112" s="534"/>
      <c r="C112" s="534"/>
      <c r="D112" s="534"/>
      <c r="E112" s="534"/>
      <c r="F112" s="534"/>
    </row>
    <row r="113" spans="1:6" ht="18" customHeight="1">
      <c r="A113" s="53">
        <v>1</v>
      </c>
      <c r="B113" s="53">
        <v>629</v>
      </c>
      <c r="C113" s="54" t="s">
        <v>248</v>
      </c>
      <c r="D113" s="53" t="s">
        <v>270</v>
      </c>
      <c r="E113" s="53">
        <v>9502200265</v>
      </c>
      <c r="F113" s="429">
        <v>40299</v>
      </c>
    </row>
    <row r="114" spans="1:6" ht="18" customHeight="1">
      <c r="A114" s="53">
        <v>2</v>
      </c>
      <c r="B114" s="53">
        <v>3178</v>
      </c>
      <c r="C114" s="54" t="s">
        <v>529</v>
      </c>
      <c r="D114" s="53" t="s">
        <v>270</v>
      </c>
      <c r="E114" s="53" t="s">
        <v>531</v>
      </c>
      <c r="F114" s="429">
        <v>45887</v>
      </c>
    </row>
    <row r="115" spans="1:6" ht="18" customHeight="1">
      <c r="A115" s="53">
        <v>3</v>
      </c>
      <c r="B115" s="53">
        <v>2613</v>
      </c>
      <c r="C115" s="54" t="s">
        <v>272</v>
      </c>
      <c r="D115" s="56" t="s">
        <v>251</v>
      </c>
      <c r="E115" s="53">
        <v>9573912337</v>
      </c>
      <c r="F115" s="429">
        <v>45198</v>
      </c>
    </row>
    <row r="116" spans="1:6" ht="18" customHeight="1">
      <c r="A116" s="53">
        <v>4</v>
      </c>
      <c r="B116" s="53">
        <v>2700</v>
      </c>
      <c r="C116" s="54" t="s">
        <v>273</v>
      </c>
      <c r="D116" s="53" t="s">
        <v>251</v>
      </c>
      <c r="E116" s="53">
        <v>7416390127</v>
      </c>
      <c r="F116" s="429">
        <v>45293</v>
      </c>
    </row>
    <row r="117" spans="1:6" ht="18" customHeight="1">
      <c r="A117" s="53">
        <v>5</v>
      </c>
      <c r="B117" s="53">
        <v>2996</v>
      </c>
      <c r="C117" s="54" t="s">
        <v>346</v>
      </c>
      <c r="D117" s="53" t="s">
        <v>251</v>
      </c>
      <c r="E117" s="53">
        <v>8142888477</v>
      </c>
      <c r="F117" s="429">
        <v>45700</v>
      </c>
    </row>
    <row r="122" spans="1:6">
      <c r="D122" s="464" t="s">
        <v>571</v>
      </c>
      <c r="E122" s="464">
        <v>49</v>
      </c>
    </row>
    <row r="123" spans="1:6">
      <c r="D123" s="464" t="s">
        <v>234</v>
      </c>
      <c r="E123" s="464">
        <v>34</v>
      </c>
    </row>
    <row r="124" spans="1:6">
      <c r="D124" s="464" t="s">
        <v>572</v>
      </c>
      <c r="E124" s="464">
        <v>13</v>
      </c>
    </row>
    <row r="125" spans="1:6">
      <c r="D125" s="464" t="s">
        <v>573</v>
      </c>
      <c r="E125" s="464">
        <v>5</v>
      </c>
    </row>
    <row r="126" spans="1:6">
      <c r="D126" s="464" t="s">
        <v>574</v>
      </c>
      <c r="E126" s="464">
        <f>SUM(E122:E125)</f>
        <v>101</v>
      </c>
    </row>
  </sheetData>
  <mergeCells count="10">
    <mergeCell ref="A97:F97"/>
    <mergeCell ref="A112:F112"/>
    <mergeCell ref="A56:G56"/>
    <mergeCell ref="A57:G57"/>
    <mergeCell ref="A58:G58"/>
    <mergeCell ref="A4:I4"/>
    <mergeCell ref="A3:I3"/>
    <mergeCell ref="A2:I2"/>
    <mergeCell ref="A1:I1"/>
    <mergeCell ref="A59:F59"/>
  </mergeCells>
  <conditionalFormatting sqref="B20:B21">
    <cfRule type="duplicateValues" dxfId="5" priority="1"/>
  </conditionalFormatting>
  <conditionalFormatting sqref="B29:B30">
    <cfRule type="duplicateValues" dxfId="4" priority="2"/>
  </conditionalFormatting>
  <pageMargins left="0.70866141732283472" right="0.70866141732283472" top="0.74803149606299213" bottom="0.74803149606299213" header="0.31496062992125984" footer="0.31496062992125984"/>
  <pageSetup paperSize="9" scale="9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0"/>
  <sheetViews>
    <sheetView topLeftCell="A76" workbookViewId="0">
      <selection activeCell="H83" sqref="H83"/>
    </sheetView>
  </sheetViews>
  <sheetFormatPr defaultRowHeight="14.4"/>
  <cols>
    <col min="2" max="2" width="10.109375" customWidth="1"/>
    <col min="3" max="3" width="37.109375" bestFit="1" customWidth="1"/>
    <col min="4" max="4" width="28.5546875" bestFit="1" customWidth="1"/>
    <col min="5" max="5" width="14.88671875" bestFit="1" customWidth="1"/>
    <col min="6" max="6" width="14.33203125" bestFit="1" customWidth="1"/>
    <col min="7" max="7" width="11.6640625" bestFit="1" customWidth="1"/>
    <col min="8" max="8" width="12.33203125" customWidth="1"/>
  </cols>
  <sheetData>
    <row r="1" spans="1:8" ht="20.100000000000001" customHeight="1">
      <c r="A1" s="514" t="s">
        <v>47</v>
      </c>
      <c r="B1" s="514"/>
      <c r="C1" s="514"/>
      <c r="D1" s="514"/>
      <c r="E1" s="514"/>
      <c r="F1" s="514"/>
      <c r="G1" s="514"/>
      <c r="H1" s="152"/>
    </row>
    <row r="2" spans="1:8" ht="20.100000000000001" customHeight="1">
      <c r="A2" s="514" t="s">
        <v>274</v>
      </c>
      <c r="B2" s="514"/>
      <c r="C2" s="514"/>
      <c r="D2" s="514"/>
      <c r="E2" s="514"/>
      <c r="F2" s="514"/>
      <c r="G2" s="514"/>
      <c r="H2" s="152"/>
    </row>
    <row r="3" spans="1:8" ht="20.100000000000001" customHeight="1">
      <c r="A3" s="522" t="s">
        <v>565</v>
      </c>
      <c r="B3" s="522"/>
      <c r="C3" s="522"/>
      <c r="D3" s="522"/>
      <c r="E3" s="522"/>
      <c r="F3" s="522"/>
      <c r="G3" s="522"/>
      <c r="H3" s="152"/>
    </row>
    <row r="4" spans="1:8" ht="20.100000000000001" customHeight="1">
      <c r="A4" s="584"/>
      <c r="B4" s="518"/>
      <c r="C4" s="518"/>
      <c r="D4" s="518"/>
      <c r="E4" s="518"/>
      <c r="F4" s="518"/>
      <c r="G4" s="518"/>
      <c r="H4" s="152"/>
    </row>
    <row r="5" spans="1:8" ht="20.100000000000001" customHeight="1">
      <c r="A5" s="3" t="s">
        <v>1</v>
      </c>
      <c r="B5" s="3" t="s">
        <v>216</v>
      </c>
      <c r="C5" s="3" t="s">
        <v>3</v>
      </c>
      <c r="D5" s="3" t="s">
        <v>4</v>
      </c>
      <c r="E5" s="3" t="s">
        <v>8</v>
      </c>
      <c r="F5" s="3" t="s">
        <v>394</v>
      </c>
      <c r="G5" s="442" t="s">
        <v>551</v>
      </c>
      <c r="H5" s="152"/>
    </row>
    <row r="6" spans="1:8" ht="33" customHeight="1">
      <c r="A6" s="53">
        <v>1</v>
      </c>
      <c r="B6" s="53">
        <v>1251</v>
      </c>
      <c r="C6" s="67" t="s">
        <v>9</v>
      </c>
      <c r="D6" s="68" t="s">
        <v>560</v>
      </c>
      <c r="E6" s="68">
        <v>9840850744</v>
      </c>
      <c r="F6" s="444">
        <v>42387</v>
      </c>
      <c r="G6" s="469">
        <f t="shared" ref="G6:G25" ca="1" si="0">DATEDIF(F6,TODAY(),"y")</f>
        <v>10</v>
      </c>
      <c r="H6" s="152"/>
    </row>
    <row r="7" spans="1:8" ht="20.100000000000001" customHeight="1">
      <c r="A7" s="53">
        <v>2</v>
      </c>
      <c r="B7" s="53">
        <v>308</v>
      </c>
      <c r="C7" s="67" t="s">
        <v>299</v>
      </c>
      <c r="D7" s="68" t="s">
        <v>19</v>
      </c>
      <c r="E7" s="68">
        <v>9908823834</v>
      </c>
      <c r="F7" s="444">
        <v>39259</v>
      </c>
      <c r="G7" s="469">
        <f t="shared" ca="1" si="0"/>
        <v>18</v>
      </c>
      <c r="H7" s="152"/>
    </row>
    <row r="8" spans="1:8" ht="20.100000000000001" customHeight="1">
      <c r="A8" s="53">
        <v>3</v>
      </c>
      <c r="B8" s="53">
        <v>1182</v>
      </c>
      <c r="C8" s="70" t="s">
        <v>26</v>
      </c>
      <c r="D8" s="71" t="s">
        <v>396</v>
      </c>
      <c r="E8" s="68">
        <v>9676354404</v>
      </c>
      <c r="F8" s="445">
        <v>42193</v>
      </c>
      <c r="G8" s="469">
        <f t="shared" ca="1" si="0"/>
        <v>10</v>
      </c>
      <c r="H8" s="152"/>
    </row>
    <row r="9" spans="1:8" ht="20.100000000000001" customHeight="1">
      <c r="A9" s="53">
        <v>4</v>
      </c>
      <c r="B9" s="53">
        <v>2827</v>
      </c>
      <c r="C9" s="55" t="s">
        <v>279</v>
      </c>
      <c r="D9" s="71" t="s">
        <v>19</v>
      </c>
      <c r="E9" s="68">
        <v>8085575111</v>
      </c>
      <c r="F9" s="95">
        <v>45495</v>
      </c>
      <c r="G9" s="469">
        <f t="shared" ca="1" si="0"/>
        <v>1</v>
      </c>
      <c r="H9" s="152"/>
    </row>
    <row r="10" spans="1:8" ht="20.100000000000001" customHeight="1">
      <c r="A10" s="53">
        <v>5</v>
      </c>
      <c r="B10" s="53">
        <v>523</v>
      </c>
      <c r="C10" s="73" t="s">
        <v>382</v>
      </c>
      <c r="D10" s="71" t="s">
        <v>180</v>
      </c>
      <c r="E10" s="53">
        <v>9441536410</v>
      </c>
      <c r="F10" s="446">
        <v>40025</v>
      </c>
      <c r="G10" s="469">
        <f t="shared" ca="1" si="0"/>
        <v>16</v>
      </c>
      <c r="H10" s="152"/>
    </row>
    <row r="11" spans="1:8" ht="20.100000000000001" customHeight="1">
      <c r="A11" s="53">
        <v>6</v>
      </c>
      <c r="B11" s="53">
        <v>312</v>
      </c>
      <c r="C11" s="67" t="s">
        <v>42</v>
      </c>
      <c r="D11" s="481" t="s">
        <v>180</v>
      </c>
      <c r="E11" s="68">
        <v>8297208489</v>
      </c>
      <c r="F11" s="445">
        <v>40206</v>
      </c>
      <c r="G11" s="469">
        <f t="shared" ca="1" si="0"/>
        <v>16</v>
      </c>
      <c r="H11" s="152"/>
    </row>
    <row r="12" spans="1:8" ht="20.100000000000001" customHeight="1">
      <c r="A12" s="53">
        <v>7</v>
      </c>
      <c r="B12" s="53">
        <v>2090</v>
      </c>
      <c r="C12" s="54" t="s">
        <v>33</v>
      </c>
      <c r="D12" s="71" t="s">
        <v>180</v>
      </c>
      <c r="E12" s="68">
        <v>9441540580</v>
      </c>
      <c r="F12" s="445">
        <v>44107</v>
      </c>
      <c r="G12" s="469">
        <f t="shared" ca="1" si="0"/>
        <v>5</v>
      </c>
      <c r="H12" s="152"/>
    </row>
    <row r="13" spans="1:8" ht="20.100000000000001" customHeight="1">
      <c r="A13" s="53">
        <v>8</v>
      </c>
      <c r="B13" s="53">
        <v>540</v>
      </c>
      <c r="C13" s="67" t="s">
        <v>378</v>
      </c>
      <c r="D13" s="71" t="s">
        <v>180</v>
      </c>
      <c r="E13" s="68">
        <v>9550367172</v>
      </c>
      <c r="F13" s="446">
        <v>40032</v>
      </c>
      <c r="G13" s="469">
        <f t="shared" ca="1" si="0"/>
        <v>16</v>
      </c>
      <c r="H13" s="152"/>
    </row>
    <row r="14" spans="1:8" ht="20.100000000000001" customHeight="1">
      <c r="A14" s="53">
        <v>9</v>
      </c>
      <c r="B14" s="53">
        <v>2490</v>
      </c>
      <c r="C14" s="55" t="s">
        <v>83</v>
      </c>
      <c r="D14" s="68" t="s">
        <v>157</v>
      </c>
      <c r="E14" s="53">
        <v>9848129660</v>
      </c>
      <c r="F14" s="446">
        <v>45084</v>
      </c>
      <c r="G14" s="469">
        <f t="shared" ca="1" si="0"/>
        <v>2</v>
      </c>
      <c r="H14" s="152"/>
    </row>
    <row r="15" spans="1:8" ht="20.100000000000001" customHeight="1">
      <c r="A15" s="53">
        <v>10</v>
      </c>
      <c r="B15" s="53">
        <v>2499</v>
      </c>
      <c r="C15" s="73" t="s">
        <v>221</v>
      </c>
      <c r="D15" s="68" t="s">
        <v>157</v>
      </c>
      <c r="E15" s="53">
        <v>9994476533</v>
      </c>
      <c r="F15" s="95">
        <v>45103</v>
      </c>
      <c r="G15" s="469">
        <f t="shared" ca="1" si="0"/>
        <v>2</v>
      </c>
      <c r="H15" s="152"/>
    </row>
    <row r="16" spans="1:8" ht="20.100000000000001" customHeight="1">
      <c r="A16" s="53">
        <v>11</v>
      </c>
      <c r="B16" s="53">
        <v>2501</v>
      </c>
      <c r="C16" s="55" t="s">
        <v>101</v>
      </c>
      <c r="D16" s="68" t="s">
        <v>157</v>
      </c>
      <c r="E16" s="53">
        <v>9848052474</v>
      </c>
      <c r="F16" s="95">
        <v>45103</v>
      </c>
      <c r="G16" s="469">
        <f t="shared" ca="1" si="0"/>
        <v>2</v>
      </c>
      <c r="H16" s="152"/>
    </row>
    <row r="17" spans="1:8" ht="20.100000000000001" customHeight="1">
      <c r="A17" s="53">
        <v>12</v>
      </c>
      <c r="B17" s="53">
        <v>2541</v>
      </c>
      <c r="C17" s="54" t="s">
        <v>127</v>
      </c>
      <c r="D17" s="68" t="s">
        <v>157</v>
      </c>
      <c r="E17" s="53">
        <v>7981738522</v>
      </c>
      <c r="F17" s="446">
        <v>45139</v>
      </c>
      <c r="G17" s="469">
        <f t="shared" ca="1" si="0"/>
        <v>2</v>
      </c>
      <c r="H17" s="152"/>
    </row>
    <row r="18" spans="1:8" ht="20.100000000000001" customHeight="1">
      <c r="A18" s="53">
        <v>13</v>
      </c>
      <c r="B18" s="71">
        <v>2689</v>
      </c>
      <c r="C18" s="447" t="s">
        <v>154</v>
      </c>
      <c r="D18" s="68" t="s">
        <v>157</v>
      </c>
      <c r="E18" s="56">
        <v>7006157037</v>
      </c>
      <c r="F18" s="446">
        <v>45289</v>
      </c>
      <c r="G18" s="469">
        <f t="shared" ca="1" si="0"/>
        <v>2</v>
      </c>
      <c r="H18" s="152"/>
    </row>
    <row r="19" spans="1:8" ht="20.100000000000001" customHeight="1">
      <c r="A19" s="53">
        <v>14</v>
      </c>
      <c r="B19" s="53">
        <v>2947</v>
      </c>
      <c r="C19" s="73" t="s">
        <v>204</v>
      </c>
      <c r="D19" s="68" t="s">
        <v>157</v>
      </c>
      <c r="E19" s="53">
        <v>9032045840</v>
      </c>
      <c r="F19" s="446">
        <v>45632</v>
      </c>
      <c r="G19" s="469">
        <f t="shared" ca="1" si="0"/>
        <v>1</v>
      </c>
      <c r="H19" s="152"/>
    </row>
    <row r="20" spans="1:8" ht="20.100000000000001" customHeight="1">
      <c r="A20" s="53">
        <v>15</v>
      </c>
      <c r="B20" s="75" t="s">
        <v>397</v>
      </c>
      <c r="C20" s="70" t="s">
        <v>67</v>
      </c>
      <c r="D20" s="71" t="s">
        <v>68</v>
      </c>
      <c r="E20" s="53">
        <v>9614547390</v>
      </c>
      <c r="F20" s="445">
        <v>45014</v>
      </c>
      <c r="G20" s="469">
        <f t="shared" ca="1" si="0"/>
        <v>3</v>
      </c>
      <c r="H20" s="152"/>
    </row>
    <row r="21" spans="1:8" ht="20.100000000000001" customHeight="1">
      <c r="A21" s="53">
        <v>16</v>
      </c>
      <c r="B21" s="53">
        <v>2454</v>
      </c>
      <c r="C21" s="54" t="s">
        <v>318</v>
      </c>
      <c r="D21" s="71" t="s">
        <v>68</v>
      </c>
      <c r="E21" s="53">
        <v>7729990303</v>
      </c>
      <c r="F21" s="445">
        <v>45047</v>
      </c>
      <c r="G21" s="469">
        <f t="shared" ca="1" si="0"/>
        <v>2</v>
      </c>
      <c r="H21" s="152"/>
    </row>
    <row r="22" spans="1:8" ht="20.100000000000001" customHeight="1">
      <c r="A22" s="53">
        <v>17</v>
      </c>
      <c r="B22" s="53">
        <v>2502</v>
      </c>
      <c r="C22" s="55" t="s">
        <v>359</v>
      </c>
      <c r="D22" s="71" t="s">
        <v>68</v>
      </c>
      <c r="E22" s="53">
        <v>9600605782</v>
      </c>
      <c r="F22" s="95">
        <v>45105</v>
      </c>
      <c r="G22" s="469">
        <f t="shared" ca="1" si="0"/>
        <v>2</v>
      </c>
      <c r="H22" s="152"/>
    </row>
    <row r="23" spans="1:8" ht="20.100000000000001" customHeight="1">
      <c r="A23" s="53">
        <v>18</v>
      </c>
      <c r="B23" s="53">
        <v>2514</v>
      </c>
      <c r="C23" s="55" t="s">
        <v>113</v>
      </c>
      <c r="D23" s="71" t="s">
        <v>68</v>
      </c>
      <c r="E23" s="53">
        <v>9500312191</v>
      </c>
      <c r="F23" s="95">
        <v>45117</v>
      </c>
      <c r="G23" s="469">
        <f t="shared" ca="1" si="0"/>
        <v>2</v>
      </c>
      <c r="H23" s="152"/>
    </row>
    <row r="24" spans="1:8" ht="20.100000000000001" customHeight="1">
      <c r="A24" s="53">
        <v>19</v>
      </c>
      <c r="B24" s="53">
        <v>2519</v>
      </c>
      <c r="C24" s="55" t="s">
        <v>120</v>
      </c>
      <c r="D24" s="71" t="s">
        <v>68</v>
      </c>
      <c r="E24" s="71">
        <v>8978116834</v>
      </c>
      <c r="F24" s="446">
        <v>45121</v>
      </c>
      <c r="G24" s="469">
        <f t="shared" ca="1" si="0"/>
        <v>2</v>
      </c>
      <c r="H24" s="152"/>
    </row>
    <row r="25" spans="1:8" ht="20.100000000000001" customHeight="1">
      <c r="A25" s="53">
        <v>20</v>
      </c>
      <c r="B25" s="53">
        <v>2934</v>
      </c>
      <c r="C25" s="73" t="s">
        <v>193</v>
      </c>
      <c r="D25" s="71" t="s">
        <v>68</v>
      </c>
      <c r="E25" s="56">
        <v>9440664462</v>
      </c>
      <c r="F25" s="446">
        <v>45600</v>
      </c>
      <c r="G25" s="469">
        <f t="shared" ca="1" si="0"/>
        <v>1</v>
      </c>
      <c r="H25" s="152"/>
    </row>
    <row r="26" spans="1:8" ht="20.100000000000001" customHeight="1">
      <c r="A26" s="53">
        <v>21</v>
      </c>
      <c r="B26" s="53">
        <v>3080</v>
      </c>
      <c r="C26" s="448" t="s">
        <v>398</v>
      </c>
      <c r="D26" s="71" t="s">
        <v>68</v>
      </c>
      <c r="E26" s="56">
        <v>6300921477</v>
      </c>
      <c r="F26" s="446" t="s">
        <v>399</v>
      </c>
      <c r="G26" s="469">
        <v>0</v>
      </c>
      <c r="H26" s="152"/>
    </row>
    <row r="27" spans="1:8" ht="20.100000000000001" customHeight="1">
      <c r="A27" s="53">
        <v>22</v>
      </c>
      <c r="B27" s="449" t="s">
        <v>420</v>
      </c>
      <c r="C27" s="448" t="s">
        <v>415</v>
      </c>
      <c r="D27" s="71" t="s">
        <v>68</v>
      </c>
      <c r="E27" s="56">
        <v>9492688417</v>
      </c>
      <c r="F27" s="446" t="s">
        <v>421</v>
      </c>
      <c r="G27" s="469">
        <v>0</v>
      </c>
      <c r="H27" s="152"/>
    </row>
    <row r="28" spans="1:8" ht="20.100000000000001" customHeight="1">
      <c r="A28" s="53">
        <v>23</v>
      </c>
      <c r="B28" s="53">
        <v>3205</v>
      </c>
      <c r="C28" s="448" t="s">
        <v>556</v>
      </c>
      <c r="D28" s="53" t="s">
        <v>68</v>
      </c>
      <c r="E28" s="56">
        <v>9494841792</v>
      </c>
      <c r="F28" s="446">
        <v>45838</v>
      </c>
      <c r="G28" s="469">
        <f t="shared" ref="G28:G37" ca="1" si="1">DATEDIF(F28,TODAY(),"y")</f>
        <v>0</v>
      </c>
      <c r="H28" s="152"/>
    </row>
    <row r="29" spans="1:8" ht="20.100000000000001" customHeight="1">
      <c r="A29" s="53">
        <v>24</v>
      </c>
      <c r="B29" s="53">
        <v>1181</v>
      </c>
      <c r="C29" s="70" t="s">
        <v>55</v>
      </c>
      <c r="D29" s="71" t="s">
        <v>68</v>
      </c>
      <c r="E29" s="68">
        <v>9493670612</v>
      </c>
      <c r="F29" s="445">
        <v>42193</v>
      </c>
      <c r="G29" s="469">
        <f t="shared" ca="1" si="1"/>
        <v>10</v>
      </c>
      <c r="H29" s="152"/>
    </row>
    <row r="30" spans="1:8" ht="20.100000000000001" customHeight="1">
      <c r="A30" s="53">
        <v>25</v>
      </c>
      <c r="B30" s="79">
        <v>2432</v>
      </c>
      <c r="C30" s="156" t="s">
        <v>280</v>
      </c>
      <c r="D30" s="111" t="s">
        <v>68</v>
      </c>
      <c r="E30" s="79">
        <v>7093243607</v>
      </c>
      <c r="F30" s="445"/>
      <c r="G30" s="469"/>
      <c r="H30" s="152"/>
    </row>
    <row r="31" spans="1:8" ht="20.100000000000001" customHeight="1">
      <c r="A31" s="53">
        <v>26</v>
      </c>
      <c r="B31" s="53">
        <v>1243</v>
      </c>
      <c r="C31" s="70" t="s">
        <v>58</v>
      </c>
      <c r="D31" s="71" t="s">
        <v>68</v>
      </c>
      <c r="E31" s="68">
        <v>8790166779</v>
      </c>
      <c r="F31" s="445">
        <v>42354</v>
      </c>
      <c r="G31" s="469">
        <f t="shared" ca="1" si="1"/>
        <v>10</v>
      </c>
      <c r="H31" s="152"/>
    </row>
    <row r="32" spans="1:8" ht="20.100000000000001" customHeight="1">
      <c r="A32" s="53">
        <v>27</v>
      </c>
      <c r="B32" s="53">
        <v>2728</v>
      </c>
      <c r="C32" s="55" t="s">
        <v>384</v>
      </c>
      <c r="D32" s="53" t="s">
        <v>582</v>
      </c>
      <c r="E32" s="53">
        <v>7981960066</v>
      </c>
      <c r="F32" s="95">
        <v>45385</v>
      </c>
      <c r="G32" s="469">
        <f t="shared" ca="1" si="1"/>
        <v>2</v>
      </c>
      <c r="H32" s="152"/>
    </row>
    <row r="33" spans="1:8" ht="20.100000000000001" customHeight="1">
      <c r="A33" s="53">
        <v>28</v>
      </c>
      <c r="B33" s="53">
        <v>2765</v>
      </c>
      <c r="C33" s="54" t="s">
        <v>168</v>
      </c>
      <c r="D33" s="71" t="s">
        <v>68</v>
      </c>
      <c r="E33" s="53">
        <v>9788682940</v>
      </c>
      <c r="F33" s="446">
        <v>45453</v>
      </c>
      <c r="G33" s="469">
        <f t="shared" ca="1" si="1"/>
        <v>1</v>
      </c>
      <c r="H33" s="152"/>
    </row>
    <row r="34" spans="1:8" ht="20.100000000000001" customHeight="1">
      <c r="A34" s="53">
        <v>29</v>
      </c>
      <c r="B34" s="53">
        <v>2512</v>
      </c>
      <c r="C34" s="54" t="s">
        <v>189</v>
      </c>
      <c r="D34" s="71" t="s">
        <v>68</v>
      </c>
      <c r="E34" s="53">
        <v>9292709507</v>
      </c>
      <c r="F34" s="445">
        <v>45117</v>
      </c>
      <c r="G34" s="469">
        <f t="shared" ca="1" si="1"/>
        <v>2</v>
      </c>
      <c r="H34" s="152"/>
    </row>
    <row r="35" spans="1:8" ht="20.100000000000001" customHeight="1">
      <c r="A35" s="53">
        <v>30</v>
      </c>
      <c r="B35" s="53">
        <v>2898</v>
      </c>
      <c r="C35" s="73" t="s">
        <v>190</v>
      </c>
      <c r="D35" s="71" t="s">
        <v>68</v>
      </c>
      <c r="E35" s="53">
        <v>9989895732</v>
      </c>
      <c r="F35" s="446">
        <v>45531</v>
      </c>
      <c r="G35" s="469">
        <f t="shared" ca="1" si="1"/>
        <v>1</v>
      </c>
      <c r="H35" s="152"/>
    </row>
    <row r="36" spans="1:8" ht="20.100000000000001" customHeight="1">
      <c r="A36" s="53">
        <v>31</v>
      </c>
      <c r="B36" s="53">
        <v>2965</v>
      </c>
      <c r="C36" s="73" t="s">
        <v>365</v>
      </c>
      <c r="D36" s="53" t="s">
        <v>582</v>
      </c>
      <c r="E36" s="56">
        <v>9642674547</v>
      </c>
      <c r="F36" s="446">
        <v>45663</v>
      </c>
      <c r="G36" s="469">
        <f t="shared" ca="1" si="1"/>
        <v>1</v>
      </c>
      <c r="H36" s="152"/>
    </row>
    <row r="37" spans="1:8" ht="20.100000000000001" customHeight="1">
      <c r="A37" s="53">
        <v>32</v>
      </c>
      <c r="B37" s="53">
        <v>3038</v>
      </c>
      <c r="C37" s="448" t="s">
        <v>385</v>
      </c>
      <c r="D37" s="53" t="s">
        <v>582</v>
      </c>
      <c r="E37" s="56">
        <v>8330983764</v>
      </c>
      <c r="F37" s="446">
        <v>45742</v>
      </c>
      <c r="G37" s="469">
        <f t="shared" ca="1" si="1"/>
        <v>1</v>
      </c>
      <c r="H37" s="152"/>
    </row>
    <row r="38" spans="1:8" ht="20.100000000000001" customHeight="1">
      <c r="A38" s="53">
        <v>33</v>
      </c>
      <c r="B38" s="53">
        <v>3073</v>
      </c>
      <c r="C38" s="73" t="s">
        <v>400</v>
      </c>
      <c r="D38" s="53" t="s">
        <v>68</v>
      </c>
      <c r="E38" s="56">
        <v>9885657789</v>
      </c>
      <c r="F38" s="56" t="s">
        <v>401</v>
      </c>
      <c r="G38" s="469">
        <v>0</v>
      </c>
      <c r="H38" s="152"/>
    </row>
    <row r="39" spans="1:8" ht="20.100000000000001" customHeight="1">
      <c r="A39" s="53">
        <v>34</v>
      </c>
      <c r="B39" s="53">
        <v>3081</v>
      </c>
      <c r="C39" s="73" t="s">
        <v>419</v>
      </c>
      <c r="D39" s="53" t="s">
        <v>68</v>
      </c>
      <c r="E39" s="56">
        <v>7338323477</v>
      </c>
      <c r="F39" s="56" t="s">
        <v>403</v>
      </c>
      <c r="G39" s="469">
        <v>0</v>
      </c>
      <c r="H39" s="152"/>
    </row>
    <row r="40" spans="1:8" ht="20.100000000000001" customHeight="1">
      <c r="A40" s="53">
        <v>35</v>
      </c>
      <c r="B40" s="53">
        <v>3084</v>
      </c>
      <c r="C40" s="73" t="s">
        <v>404</v>
      </c>
      <c r="D40" s="53" t="s">
        <v>582</v>
      </c>
      <c r="E40" s="56">
        <v>9492617314</v>
      </c>
      <c r="F40" s="56" t="s">
        <v>405</v>
      </c>
      <c r="G40" s="469">
        <v>0</v>
      </c>
      <c r="H40" s="152"/>
    </row>
    <row r="41" spans="1:8" ht="20.100000000000001" customHeight="1">
      <c r="A41" s="53">
        <v>36</v>
      </c>
      <c r="B41" s="53">
        <v>2921</v>
      </c>
      <c r="C41" s="73" t="s">
        <v>364</v>
      </c>
      <c r="D41" s="53" t="s">
        <v>582</v>
      </c>
      <c r="E41" s="56">
        <v>9014766760</v>
      </c>
      <c r="F41" s="446">
        <v>45580</v>
      </c>
      <c r="G41" s="469">
        <f t="shared" ref="G41:G54" ca="1" si="2">DATEDIF(F41,TODAY(),"y")</f>
        <v>1</v>
      </c>
      <c r="H41" s="152"/>
    </row>
    <row r="42" spans="1:8" ht="20.100000000000001" customHeight="1">
      <c r="A42" s="53">
        <v>37</v>
      </c>
      <c r="B42" s="53">
        <v>3089</v>
      </c>
      <c r="C42" s="73" t="s">
        <v>416</v>
      </c>
      <c r="D42" s="53" t="s">
        <v>582</v>
      </c>
      <c r="E42" s="56">
        <v>8790242128</v>
      </c>
      <c r="F42" s="446">
        <v>45826</v>
      </c>
      <c r="G42" s="469">
        <f t="shared" ca="1" si="2"/>
        <v>0</v>
      </c>
      <c r="H42" s="152"/>
    </row>
    <row r="43" spans="1:8" ht="20.100000000000001" customHeight="1">
      <c r="A43" s="53">
        <v>38</v>
      </c>
      <c r="B43" s="53">
        <v>3129</v>
      </c>
      <c r="C43" s="73" t="s">
        <v>422</v>
      </c>
      <c r="D43" s="53" t="s">
        <v>582</v>
      </c>
      <c r="E43" s="56">
        <v>9491432819</v>
      </c>
      <c r="F43" s="446">
        <v>45845</v>
      </c>
      <c r="G43" s="469">
        <f t="shared" ca="1" si="2"/>
        <v>0</v>
      </c>
      <c r="H43" s="152"/>
    </row>
    <row r="44" spans="1:8" ht="20.100000000000001" customHeight="1">
      <c r="A44" s="53">
        <v>39</v>
      </c>
      <c r="B44" s="53">
        <v>2925</v>
      </c>
      <c r="C44" s="73" t="s">
        <v>369</v>
      </c>
      <c r="D44" s="53" t="s">
        <v>62</v>
      </c>
      <c r="E44" s="56">
        <v>7995794652</v>
      </c>
      <c r="F44" s="446">
        <v>45582</v>
      </c>
      <c r="G44" s="469">
        <f t="shared" ca="1" si="2"/>
        <v>1</v>
      </c>
      <c r="H44" s="152"/>
    </row>
    <row r="45" spans="1:8" ht="20.100000000000001" customHeight="1">
      <c r="A45" s="53">
        <v>40</v>
      </c>
      <c r="B45" s="53">
        <v>2936</v>
      </c>
      <c r="C45" s="73" t="s">
        <v>197</v>
      </c>
      <c r="D45" s="71" t="s">
        <v>198</v>
      </c>
      <c r="E45" s="56">
        <v>8125544167</v>
      </c>
      <c r="F45" s="446">
        <v>45600</v>
      </c>
      <c r="G45" s="469">
        <f t="shared" ca="1" si="2"/>
        <v>1</v>
      </c>
      <c r="H45" s="152"/>
    </row>
    <row r="46" spans="1:8" ht="20.100000000000001" customHeight="1">
      <c r="A46" s="53">
        <v>41</v>
      </c>
      <c r="B46" s="53">
        <v>2950</v>
      </c>
      <c r="C46" s="73" t="s">
        <v>390</v>
      </c>
      <c r="D46" s="71" t="s">
        <v>198</v>
      </c>
      <c r="E46" s="53">
        <v>9000024070</v>
      </c>
      <c r="F46" s="446">
        <v>45638</v>
      </c>
      <c r="G46" s="469">
        <f t="shared" ca="1" si="2"/>
        <v>1</v>
      </c>
      <c r="H46" s="152"/>
    </row>
    <row r="47" spans="1:8" ht="20.100000000000001" customHeight="1">
      <c r="A47" s="53">
        <v>42</v>
      </c>
      <c r="B47" s="53">
        <v>3052</v>
      </c>
      <c r="C47" s="448" t="s">
        <v>202</v>
      </c>
      <c r="D47" s="53" t="s">
        <v>372</v>
      </c>
      <c r="E47" s="56">
        <v>7331142998</v>
      </c>
      <c r="F47" s="446">
        <v>45778</v>
      </c>
      <c r="G47" s="469">
        <f t="shared" ca="1" si="2"/>
        <v>0</v>
      </c>
      <c r="H47" s="152"/>
    </row>
    <row r="48" spans="1:8" ht="20.100000000000001" customHeight="1">
      <c r="A48" s="53">
        <v>43</v>
      </c>
      <c r="B48" s="307">
        <v>30410</v>
      </c>
      <c r="C48" s="450" t="s">
        <v>408</v>
      </c>
      <c r="D48" s="53" t="s">
        <v>62</v>
      </c>
      <c r="E48" s="307">
        <v>7995622962</v>
      </c>
      <c r="F48" s="414">
        <v>44928</v>
      </c>
      <c r="G48" s="469">
        <f t="shared" ca="1" si="2"/>
        <v>3</v>
      </c>
      <c r="H48" s="451"/>
    </row>
    <row r="49" spans="1:8" ht="20.100000000000001" customHeight="1">
      <c r="A49" s="53">
        <v>44</v>
      </c>
      <c r="B49" s="307">
        <v>30744</v>
      </c>
      <c r="C49" s="450" t="s">
        <v>308</v>
      </c>
      <c r="D49" s="307" t="s">
        <v>309</v>
      </c>
      <c r="E49" s="307">
        <v>8790500801</v>
      </c>
      <c r="F49" s="414">
        <v>45071</v>
      </c>
      <c r="G49" s="469">
        <f t="shared" ca="1" si="2"/>
        <v>2</v>
      </c>
      <c r="H49" s="451"/>
    </row>
    <row r="50" spans="1:8" ht="20.100000000000001" customHeight="1">
      <c r="A50" s="53">
        <v>45</v>
      </c>
      <c r="B50" s="307">
        <v>31143</v>
      </c>
      <c r="C50" s="136" t="s">
        <v>575</v>
      </c>
      <c r="D50" s="307" t="s">
        <v>228</v>
      </c>
      <c r="E50" s="307">
        <v>9381279468</v>
      </c>
      <c r="F50" s="429">
        <v>45964</v>
      </c>
      <c r="G50" s="469">
        <f t="shared" ca="1" si="2"/>
        <v>0</v>
      </c>
      <c r="H50" s="452"/>
    </row>
    <row r="51" spans="1:8" ht="20.100000000000001" customHeight="1">
      <c r="A51" s="53">
        <v>46</v>
      </c>
      <c r="B51" s="53">
        <v>633</v>
      </c>
      <c r="C51" s="54" t="s">
        <v>305</v>
      </c>
      <c r="D51" s="53" t="s">
        <v>320</v>
      </c>
      <c r="E51" s="53">
        <v>9494678628</v>
      </c>
      <c r="F51" s="95">
        <v>40380</v>
      </c>
      <c r="G51" s="470">
        <f t="shared" ca="1" si="2"/>
        <v>15</v>
      </c>
      <c r="H51" s="451"/>
    </row>
    <row r="52" spans="1:8" ht="20.100000000000001" customHeight="1">
      <c r="A52" s="53">
        <v>47</v>
      </c>
      <c r="B52" s="53">
        <v>2285</v>
      </c>
      <c r="C52" s="54" t="s">
        <v>306</v>
      </c>
      <c r="D52" s="53" t="s">
        <v>321</v>
      </c>
      <c r="E52" s="53">
        <v>9640066261</v>
      </c>
      <c r="F52" s="95">
        <v>44718</v>
      </c>
      <c r="G52" s="470">
        <f t="shared" ca="1" si="2"/>
        <v>3</v>
      </c>
      <c r="H52" s="451"/>
    </row>
    <row r="53" spans="1:8" ht="20.100000000000001" customHeight="1">
      <c r="A53" s="53">
        <v>48</v>
      </c>
      <c r="B53" s="79">
        <v>31128</v>
      </c>
      <c r="C53" s="110" t="s">
        <v>570</v>
      </c>
      <c r="D53" s="80" t="s">
        <v>583</v>
      </c>
      <c r="E53" s="79">
        <v>8341347612</v>
      </c>
      <c r="F53" s="446">
        <v>45947</v>
      </c>
      <c r="G53" s="469">
        <f t="shared" ca="1" si="2"/>
        <v>0</v>
      </c>
      <c r="H53" s="498">
        <v>46015</v>
      </c>
    </row>
    <row r="54" spans="1:8" ht="20.100000000000001" customHeight="1">
      <c r="A54" s="53">
        <v>49</v>
      </c>
      <c r="B54" s="53">
        <v>31168</v>
      </c>
      <c r="C54" s="54" t="s">
        <v>546</v>
      </c>
      <c r="D54" s="53" t="s">
        <v>581</v>
      </c>
      <c r="E54" s="53">
        <v>8074365175</v>
      </c>
      <c r="F54" s="453">
        <v>45993</v>
      </c>
      <c r="G54" s="470">
        <f t="shared" ca="1" si="2"/>
        <v>0</v>
      </c>
      <c r="H54" s="451"/>
    </row>
    <row r="55" spans="1:8" ht="20.100000000000001" customHeight="1">
      <c r="A55" s="454"/>
      <c r="B55" s="454"/>
      <c r="C55" s="430"/>
      <c r="D55" s="454"/>
      <c r="E55" s="454"/>
      <c r="F55" s="431"/>
      <c r="G55" s="443"/>
      <c r="H55" s="451"/>
    </row>
    <row r="56" spans="1:8" ht="20.100000000000001" customHeight="1">
      <c r="A56" s="519" t="s">
        <v>47</v>
      </c>
      <c r="B56" s="519"/>
      <c r="C56" s="519"/>
      <c r="D56" s="519"/>
      <c r="E56" s="519"/>
      <c r="F56" s="519"/>
      <c r="G56" s="519"/>
      <c r="H56" s="451"/>
    </row>
    <row r="57" spans="1:8" ht="20.100000000000001" customHeight="1">
      <c r="A57" s="520" t="s">
        <v>274</v>
      </c>
      <c r="B57" s="520"/>
      <c r="C57" s="520"/>
      <c r="D57" s="520"/>
      <c r="E57" s="520"/>
      <c r="F57" s="520"/>
      <c r="G57" s="520"/>
      <c r="H57" s="451"/>
    </row>
    <row r="58" spans="1:8" ht="20.100000000000001" customHeight="1">
      <c r="A58" s="585" t="s">
        <v>566</v>
      </c>
      <c r="B58" s="585"/>
      <c r="C58" s="585"/>
      <c r="D58" s="585"/>
      <c r="E58" s="585"/>
      <c r="F58" s="585"/>
      <c r="G58" s="585"/>
      <c r="H58" s="152"/>
    </row>
    <row r="59" spans="1:8" ht="20.100000000000001" customHeight="1">
      <c r="A59" s="534"/>
      <c r="B59" s="534"/>
      <c r="C59" s="534"/>
      <c r="D59" s="534"/>
      <c r="E59" s="534"/>
      <c r="F59" s="534"/>
      <c r="G59" s="455"/>
      <c r="H59" s="152"/>
    </row>
    <row r="60" spans="1:8" ht="20.100000000000001" customHeight="1">
      <c r="A60" s="456" t="s">
        <v>557</v>
      </c>
      <c r="B60" s="456" t="s">
        <v>285</v>
      </c>
      <c r="C60" s="456" t="s">
        <v>446</v>
      </c>
      <c r="D60" s="456" t="s">
        <v>4</v>
      </c>
      <c r="E60" s="3" t="s">
        <v>395</v>
      </c>
      <c r="F60" s="3" t="s">
        <v>394</v>
      </c>
      <c r="G60" s="442" t="s">
        <v>395</v>
      </c>
      <c r="H60" s="152"/>
    </row>
    <row r="61" spans="1:8" ht="20.100000000000001" customHeight="1">
      <c r="A61" s="53">
        <v>1</v>
      </c>
      <c r="B61" s="307">
        <v>30904</v>
      </c>
      <c r="C61" s="55" t="s">
        <v>406</v>
      </c>
      <c r="D61" s="53" t="s">
        <v>62</v>
      </c>
      <c r="E61" s="53">
        <v>8688928251</v>
      </c>
      <c r="F61" s="95">
        <v>45817</v>
      </c>
      <c r="G61" s="442"/>
      <c r="H61" s="152"/>
    </row>
    <row r="62" spans="1:8" ht="20.100000000000001" customHeight="1">
      <c r="A62" s="53">
        <v>2</v>
      </c>
      <c r="B62" s="316">
        <v>30917</v>
      </c>
      <c r="C62" s="110" t="s">
        <v>703</v>
      </c>
      <c r="D62" s="79" t="s">
        <v>62</v>
      </c>
      <c r="E62" s="79">
        <v>7075775397</v>
      </c>
      <c r="F62" s="95">
        <v>45831</v>
      </c>
      <c r="G62" s="457"/>
      <c r="H62" s="499">
        <v>46032</v>
      </c>
    </row>
    <row r="63" spans="1:8" ht="20.100000000000001" customHeight="1">
      <c r="A63" s="53">
        <v>3</v>
      </c>
      <c r="B63" s="307">
        <v>30934</v>
      </c>
      <c r="C63" s="55" t="s">
        <v>426</v>
      </c>
      <c r="D63" s="53" t="s">
        <v>62</v>
      </c>
      <c r="E63" s="53">
        <v>7569374895</v>
      </c>
      <c r="F63" s="95">
        <v>45834</v>
      </c>
      <c r="G63" s="457"/>
      <c r="H63" s="152"/>
    </row>
    <row r="64" spans="1:8" ht="20.100000000000001" customHeight="1">
      <c r="A64" s="53">
        <v>4</v>
      </c>
      <c r="B64" s="316">
        <v>30936</v>
      </c>
      <c r="C64" s="110" t="s">
        <v>427</v>
      </c>
      <c r="D64" s="79" t="s">
        <v>62</v>
      </c>
      <c r="E64" s="79">
        <v>8639469394</v>
      </c>
      <c r="F64" s="95">
        <v>45834</v>
      </c>
      <c r="G64" s="457"/>
      <c r="H64" s="499">
        <v>46018</v>
      </c>
    </row>
    <row r="65" spans="1:8" ht="20.100000000000001" customHeight="1">
      <c r="A65" s="53">
        <v>5</v>
      </c>
      <c r="B65" s="307">
        <v>30940</v>
      </c>
      <c r="C65" s="55" t="s">
        <v>428</v>
      </c>
      <c r="D65" s="53" t="s">
        <v>62</v>
      </c>
      <c r="E65" s="53">
        <v>9573979580</v>
      </c>
      <c r="F65" s="95">
        <v>45834</v>
      </c>
      <c r="G65" s="457"/>
    </row>
    <row r="66" spans="1:8" ht="20.100000000000001" customHeight="1">
      <c r="A66" s="53">
        <v>6</v>
      </c>
      <c r="B66" s="307">
        <v>30948</v>
      </c>
      <c r="C66" s="55" t="s">
        <v>431</v>
      </c>
      <c r="D66" s="53" t="s">
        <v>62</v>
      </c>
      <c r="E66" s="53">
        <v>8978224170</v>
      </c>
      <c r="F66" s="95">
        <v>45838</v>
      </c>
      <c r="G66" s="457"/>
      <c r="H66" s="152"/>
    </row>
    <row r="67" spans="1:8" ht="20.100000000000001" customHeight="1">
      <c r="A67" s="53">
        <v>7</v>
      </c>
      <c r="B67" s="307">
        <v>30951</v>
      </c>
      <c r="C67" s="55" t="s">
        <v>434</v>
      </c>
      <c r="D67" s="53" t="s">
        <v>62</v>
      </c>
      <c r="E67" s="53">
        <v>9398268887</v>
      </c>
      <c r="F67" s="95">
        <v>45838</v>
      </c>
      <c r="G67" s="457"/>
      <c r="H67" s="152"/>
    </row>
    <row r="68" spans="1:8" ht="20.100000000000001" customHeight="1">
      <c r="A68" s="53">
        <v>8</v>
      </c>
      <c r="B68" s="307">
        <v>30955</v>
      </c>
      <c r="C68" s="55" t="s">
        <v>437</v>
      </c>
      <c r="D68" s="53" t="s">
        <v>62</v>
      </c>
      <c r="E68" s="53">
        <v>6281270604</v>
      </c>
      <c r="F68" s="95">
        <v>45840</v>
      </c>
      <c r="G68" s="457"/>
      <c r="H68" s="152"/>
    </row>
    <row r="69" spans="1:8" ht="20.100000000000001" customHeight="1">
      <c r="A69" s="53">
        <v>9</v>
      </c>
      <c r="B69" s="307">
        <v>30960</v>
      </c>
      <c r="C69" s="55" t="s">
        <v>439</v>
      </c>
      <c r="D69" s="53" t="s">
        <v>62</v>
      </c>
      <c r="E69" s="53">
        <v>9381847839</v>
      </c>
      <c r="F69" s="95">
        <v>45842</v>
      </c>
      <c r="G69" s="457"/>
      <c r="H69" s="152"/>
    </row>
    <row r="70" spans="1:8" ht="20.100000000000001" customHeight="1">
      <c r="A70" s="53">
        <v>10</v>
      </c>
      <c r="B70" s="307">
        <v>30961</v>
      </c>
      <c r="C70" s="55" t="s">
        <v>440</v>
      </c>
      <c r="D70" s="53" t="s">
        <v>62</v>
      </c>
      <c r="E70" s="53">
        <v>6300368240</v>
      </c>
      <c r="F70" s="95">
        <v>45843</v>
      </c>
      <c r="G70" s="457"/>
      <c r="H70" s="152"/>
    </row>
    <row r="71" spans="1:8" ht="20.100000000000001" customHeight="1">
      <c r="A71" s="53">
        <v>11</v>
      </c>
      <c r="B71" s="307">
        <v>30964</v>
      </c>
      <c r="C71" s="55" t="s">
        <v>448</v>
      </c>
      <c r="D71" s="53" t="s">
        <v>62</v>
      </c>
      <c r="E71" s="53">
        <v>9515172678</v>
      </c>
      <c r="F71" s="95" t="s">
        <v>449</v>
      </c>
      <c r="G71" s="457"/>
      <c r="H71" s="152"/>
    </row>
    <row r="72" spans="1:8" ht="20.100000000000001" customHeight="1">
      <c r="A72" s="53">
        <v>12</v>
      </c>
      <c r="B72" s="307">
        <v>30969</v>
      </c>
      <c r="C72" s="54" t="s">
        <v>453</v>
      </c>
      <c r="D72" s="53" t="s">
        <v>62</v>
      </c>
      <c r="E72" s="53">
        <v>8247017365</v>
      </c>
      <c r="F72" s="95" t="s">
        <v>454</v>
      </c>
      <c r="G72" s="457"/>
      <c r="H72" s="152"/>
    </row>
    <row r="73" spans="1:8" ht="20.100000000000001" customHeight="1">
      <c r="A73" s="53">
        <v>13</v>
      </c>
      <c r="B73" s="307">
        <v>30970</v>
      </c>
      <c r="C73" s="54" t="s">
        <v>455</v>
      </c>
      <c r="D73" s="53" t="s">
        <v>62</v>
      </c>
      <c r="E73" s="53">
        <v>8125869185</v>
      </c>
      <c r="F73" s="95" t="s">
        <v>454</v>
      </c>
      <c r="G73" s="457"/>
      <c r="H73" s="152"/>
    </row>
    <row r="74" spans="1:8" ht="20.100000000000001" customHeight="1">
      <c r="A74" s="53">
        <v>14</v>
      </c>
      <c r="B74" s="307">
        <v>30971</v>
      </c>
      <c r="C74" s="54" t="s">
        <v>456</v>
      </c>
      <c r="D74" s="53" t="s">
        <v>62</v>
      </c>
      <c r="E74" s="71">
        <v>9000393290</v>
      </c>
      <c r="F74" s="445">
        <v>45847</v>
      </c>
      <c r="G74" s="458"/>
      <c r="H74" s="152"/>
    </row>
    <row r="75" spans="1:8" ht="20.100000000000001" customHeight="1">
      <c r="A75" s="53">
        <v>15</v>
      </c>
      <c r="B75" s="307">
        <v>30989</v>
      </c>
      <c r="C75" s="54" t="s">
        <v>464</v>
      </c>
      <c r="D75" s="53" t="s">
        <v>62</v>
      </c>
      <c r="E75" s="53">
        <v>7995627385</v>
      </c>
      <c r="F75" s="95" t="s">
        <v>463</v>
      </c>
      <c r="G75" s="457"/>
      <c r="H75" s="152"/>
    </row>
    <row r="76" spans="1:8" ht="20.100000000000001" customHeight="1">
      <c r="A76" s="53">
        <v>16</v>
      </c>
      <c r="B76" s="307">
        <v>30997</v>
      </c>
      <c r="C76" s="54" t="s">
        <v>468</v>
      </c>
      <c r="D76" s="53" t="s">
        <v>62</v>
      </c>
      <c r="E76" s="53">
        <v>7013229574</v>
      </c>
      <c r="F76" s="95" t="s">
        <v>469</v>
      </c>
      <c r="G76" s="457"/>
      <c r="H76" s="152"/>
    </row>
    <row r="77" spans="1:8" ht="20.100000000000001" customHeight="1">
      <c r="A77" s="53">
        <v>17</v>
      </c>
      <c r="B77" s="316">
        <v>30999</v>
      </c>
      <c r="C77" s="110" t="s">
        <v>518</v>
      </c>
      <c r="D77" s="79" t="s">
        <v>62</v>
      </c>
      <c r="E77" s="79">
        <v>9121426349</v>
      </c>
      <c r="F77" s="429">
        <v>45856</v>
      </c>
      <c r="G77" s="457"/>
      <c r="H77" s="499">
        <v>46022</v>
      </c>
    </row>
    <row r="78" spans="1:8" ht="20.100000000000001" customHeight="1">
      <c r="A78" s="53">
        <v>18</v>
      </c>
      <c r="B78" s="307">
        <v>31009</v>
      </c>
      <c r="C78" s="54" t="s">
        <v>511</v>
      </c>
      <c r="D78" s="53" t="s">
        <v>62</v>
      </c>
      <c r="E78" s="53">
        <v>9652560279</v>
      </c>
      <c r="F78" s="95">
        <v>45864</v>
      </c>
      <c r="G78" s="457"/>
      <c r="H78" s="152"/>
    </row>
    <row r="79" spans="1:8" ht="20.100000000000001" customHeight="1">
      <c r="A79" s="53">
        <v>19</v>
      </c>
      <c r="B79" s="316">
        <v>31014</v>
      </c>
      <c r="C79" s="156" t="s">
        <v>509</v>
      </c>
      <c r="D79" s="79" t="s">
        <v>62</v>
      </c>
      <c r="E79" s="79">
        <v>7601073553</v>
      </c>
      <c r="F79" s="446">
        <v>45866</v>
      </c>
      <c r="G79" s="457"/>
      <c r="H79" s="499">
        <v>46018</v>
      </c>
    </row>
    <row r="80" spans="1:8" ht="20.100000000000001" customHeight="1">
      <c r="A80" s="53">
        <v>20</v>
      </c>
      <c r="B80" s="307">
        <v>31016</v>
      </c>
      <c r="C80" s="54" t="s">
        <v>508</v>
      </c>
      <c r="D80" s="53" t="s">
        <v>62</v>
      </c>
      <c r="E80" s="53">
        <v>8125941185</v>
      </c>
      <c r="F80" s="95">
        <v>45867</v>
      </c>
      <c r="G80" s="457"/>
      <c r="H80" s="152"/>
    </row>
    <row r="81" spans="1:8" ht="20.100000000000001" customHeight="1">
      <c r="A81" s="53">
        <v>21</v>
      </c>
      <c r="B81" s="307">
        <v>31018</v>
      </c>
      <c r="C81" s="55" t="s">
        <v>517</v>
      </c>
      <c r="D81" s="53" t="s">
        <v>62</v>
      </c>
      <c r="E81" s="53">
        <v>8309517227</v>
      </c>
      <c r="F81" s="95">
        <v>45869</v>
      </c>
      <c r="G81" s="457"/>
      <c r="H81" s="152"/>
    </row>
    <row r="82" spans="1:8" ht="20.100000000000001" customHeight="1">
      <c r="A82" s="53">
        <v>22</v>
      </c>
      <c r="B82" s="316">
        <v>31056</v>
      </c>
      <c r="C82" s="156" t="s">
        <v>524</v>
      </c>
      <c r="D82" s="79" t="s">
        <v>62</v>
      </c>
      <c r="E82" s="79">
        <v>9390166821</v>
      </c>
      <c r="F82" s="95">
        <v>45880</v>
      </c>
      <c r="G82" s="457"/>
      <c r="H82" s="499">
        <v>46018</v>
      </c>
    </row>
    <row r="83" spans="1:8" ht="20.100000000000001" customHeight="1">
      <c r="A83" s="53">
        <v>23</v>
      </c>
      <c r="B83" s="316">
        <v>31058</v>
      </c>
      <c r="C83" s="156" t="s">
        <v>579</v>
      </c>
      <c r="D83" s="79" t="s">
        <v>62</v>
      </c>
      <c r="E83" s="79">
        <v>9550763660</v>
      </c>
      <c r="F83" s="478">
        <v>45881</v>
      </c>
      <c r="G83" s="457"/>
      <c r="H83" s="499">
        <v>46073</v>
      </c>
    </row>
    <row r="84" spans="1:8" ht="20.100000000000001" customHeight="1">
      <c r="A84" s="53">
        <v>24</v>
      </c>
      <c r="B84" s="163">
        <v>31070</v>
      </c>
      <c r="C84" s="418" t="s">
        <v>548</v>
      </c>
      <c r="D84" s="53" t="s">
        <v>62</v>
      </c>
      <c r="E84" s="53">
        <v>9030272655</v>
      </c>
      <c r="F84" s="446">
        <v>45891</v>
      </c>
      <c r="G84" s="457"/>
      <c r="H84" s="152"/>
    </row>
    <row r="85" spans="1:8" ht="20.100000000000001" customHeight="1">
      <c r="A85" s="53">
        <v>25</v>
      </c>
      <c r="B85" s="307">
        <v>31071</v>
      </c>
      <c r="C85" s="418" t="s">
        <v>549</v>
      </c>
      <c r="D85" s="53" t="s">
        <v>62</v>
      </c>
      <c r="E85" s="53">
        <v>8019998514</v>
      </c>
      <c r="F85" s="445">
        <v>45891</v>
      </c>
      <c r="G85" s="459"/>
      <c r="H85" s="152"/>
    </row>
    <row r="86" spans="1:8" ht="20.100000000000001" customHeight="1">
      <c r="A86" s="53">
        <v>26</v>
      </c>
      <c r="B86" s="163">
        <v>31082</v>
      </c>
      <c r="C86" s="418" t="s">
        <v>547</v>
      </c>
      <c r="D86" s="53" t="s">
        <v>62</v>
      </c>
      <c r="E86" s="53">
        <v>9848498113</v>
      </c>
      <c r="F86" s="446">
        <v>45894</v>
      </c>
      <c r="G86" s="457"/>
      <c r="H86" s="152"/>
    </row>
    <row r="87" spans="1:8" ht="20.100000000000001" customHeight="1">
      <c r="A87" s="53">
        <v>27</v>
      </c>
      <c r="B87" s="307">
        <v>31097</v>
      </c>
      <c r="C87" s="418" t="s">
        <v>552</v>
      </c>
      <c r="D87" s="53" t="s">
        <v>62</v>
      </c>
      <c r="E87" s="53">
        <v>6303002424</v>
      </c>
      <c r="F87" s="95">
        <v>45901</v>
      </c>
      <c r="G87" s="457"/>
      <c r="H87" s="152"/>
    </row>
    <row r="88" spans="1:8" ht="20.100000000000001" customHeight="1">
      <c r="A88" s="53">
        <v>28</v>
      </c>
      <c r="B88" s="316">
        <v>31133</v>
      </c>
      <c r="C88" s="389" t="s">
        <v>569</v>
      </c>
      <c r="D88" s="79" t="s">
        <v>62</v>
      </c>
      <c r="E88" s="79">
        <v>8341185708</v>
      </c>
      <c r="F88" s="478">
        <v>45955</v>
      </c>
      <c r="G88" s="512"/>
      <c r="H88" s="499">
        <v>46042</v>
      </c>
    </row>
    <row r="89" spans="1:8" ht="20.100000000000001" customHeight="1">
      <c r="A89" s="81"/>
      <c r="B89" s="87"/>
      <c r="C89" s="87"/>
      <c r="D89" s="81"/>
      <c r="E89" s="82"/>
      <c r="F89" s="82"/>
      <c r="G89" s="152"/>
      <c r="H89" s="152"/>
    </row>
    <row r="90" spans="1:8" ht="20.100000000000001" customHeight="1">
      <c r="A90" s="87"/>
      <c r="B90" s="84"/>
      <c r="C90" s="87"/>
      <c r="D90" s="87"/>
      <c r="E90" s="82"/>
      <c r="F90" s="82"/>
      <c r="G90" s="152"/>
      <c r="H90" s="152"/>
    </row>
    <row r="91" spans="1:8" ht="20.100000000000001" customHeight="1">
      <c r="A91" s="518" t="s">
        <v>323</v>
      </c>
      <c r="B91" s="518"/>
      <c r="C91" s="518"/>
      <c r="D91" s="518"/>
      <c r="E91" s="518"/>
      <c r="F91" s="518"/>
      <c r="G91" s="152"/>
      <c r="H91" s="152"/>
    </row>
    <row r="92" spans="1:8" ht="20.100000000000001" customHeight="1">
      <c r="A92" s="307">
        <v>1</v>
      </c>
      <c r="B92" s="461">
        <v>2646</v>
      </c>
      <c r="C92" s="447" t="s">
        <v>245</v>
      </c>
      <c r="D92" s="461" t="s">
        <v>267</v>
      </c>
      <c r="E92" s="307">
        <v>6300035358</v>
      </c>
      <c r="F92" s="462">
        <v>45253</v>
      </c>
      <c r="G92" s="451"/>
      <c r="H92" s="451"/>
    </row>
    <row r="93" spans="1:8" ht="20.100000000000001" customHeight="1">
      <c r="A93" s="307">
        <v>2</v>
      </c>
      <c r="B93" s="461">
        <v>2686</v>
      </c>
      <c r="C93" s="447" t="s">
        <v>268</v>
      </c>
      <c r="D93" s="461" t="s">
        <v>267</v>
      </c>
      <c r="E93" s="307">
        <v>8247346900</v>
      </c>
      <c r="F93" s="462">
        <v>45282</v>
      </c>
      <c r="G93" s="451"/>
      <c r="H93" s="451"/>
    </row>
    <row r="94" spans="1:8" ht="20.100000000000001" customHeight="1">
      <c r="A94" s="307">
        <v>3</v>
      </c>
      <c r="B94" s="461">
        <v>2852</v>
      </c>
      <c r="C94" s="447" t="s">
        <v>205</v>
      </c>
      <c r="D94" s="461" t="s">
        <v>147</v>
      </c>
      <c r="E94" s="307">
        <v>7981683088</v>
      </c>
      <c r="F94" s="462">
        <v>45513</v>
      </c>
      <c r="G94" s="451"/>
      <c r="H94" s="451"/>
    </row>
    <row r="95" spans="1:8" ht="20.100000000000001" customHeight="1">
      <c r="A95" s="307">
        <v>4</v>
      </c>
      <c r="B95" s="461">
        <v>2932</v>
      </c>
      <c r="C95" s="447" t="s">
        <v>207</v>
      </c>
      <c r="D95" s="461" t="s">
        <v>147</v>
      </c>
      <c r="E95" s="307">
        <v>7672052900</v>
      </c>
      <c r="F95" s="462">
        <v>45597</v>
      </c>
      <c r="G95" s="451"/>
      <c r="H95" s="451"/>
    </row>
    <row r="96" spans="1:8" ht="20.100000000000001" customHeight="1">
      <c r="A96" s="307">
        <v>5</v>
      </c>
      <c r="B96" s="461">
        <v>2935</v>
      </c>
      <c r="C96" s="447" t="s">
        <v>208</v>
      </c>
      <c r="D96" s="461" t="s">
        <v>147</v>
      </c>
      <c r="E96" s="307">
        <v>9948686959</v>
      </c>
      <c r="F96" s="462">
        <v>45600</v>
      </c>
      <c r="G96" s="451"/>
      <c r="H96" s="451"/>
    </row>
    <row r="97" spans="1:8" ht="20.100000000000001" customHeight="1">
      <c r="A97" s="307">
        <v>6</v>
      </c>
      <c r="B97" s="461">
        <v>2940</v>
      </c>
      <c r="C97" s="447" t="s">
        <v>209</v>
      </c>
      <c r="D97" s="461" t="s">
        <v>147</v>
      </c>
      <c r="E97" s="307">
        <v>7799595004</v>
      </c>
      <c r="F97" s="462">
        <v>45610</v>
      </c>
      <c r="G97" s="451"/>
      <c r="H97" s="451"/>
    </row>
    <row r="98" spans="1:8" ht="20.100000000000001" customHeight="1">
      <c r="A98" s="307">
        <v>7</v>
      </c>
      <c r="B98" s="461">
        <v>2952</v>
      </c>
      <c r="C98" s="448" t="s">
        <v>210</v>
      </c>
      <c r="D98" s="461" t="s">
        <v>147</v>
      </c>
      <c r="E98" s="307">
        <v>6302946907</v>
      </c>
      <c r="F98" s="403" t="s">
        <v>411</v>
      </c>
      <c r="G98" s="451"/>
      <c r="H98" s="451"/>
    </row>
    <row r="99" spans="1:8" ht="20.100000000000001" customHeight="1">
      <c r="A99" s="307">
        <v>8</v>
      </c>
      <c r="B99" s="461">
        <v>3023</v>
      </c>
      <c r="C99" s="448" t="s">
        <v>211</v>
      </c>
      <c r="D99" s="461" t="s">
        <v>147</v>
      </c>
      <c r="E99" s="307">
        <v>9182194446</v>
      </c>
      <c r="F99" s="462">
        <v>45726</v>
      </c>
      <c r="G99" s="451"/>
      <c r="H99" s="451"/>
    </row>
    <row r="100" spans="1:8" ht="20.100000000000001" customHeight="1">
      <c r="A100" s="307">
        <v>9</v>
      </c>
      <c r="B100" s="307">
        <v>3032</v>
      </c>
      <c r="C100" s="448" t="s">
        <v>470</v>
      </c>
      <c r="D100" s="461" t="s">
        <v>147</v>
      </c>
      <c r="E100" s="403">
        <v>8341287184</v>
      </c>
      <c r="F100" s="403" t="s">
        <v>412</v>
      </c>
      <c r="G100" s="451"/>
      <c r="H100" s="451"/>
    </row>
    <row r="101" spans="1:8" ht="20.100000000000001" customHeight="1">
      <c r="A101" s="307">
        <v>10</v>
      </c>
      <c r="B101" s="307">
        <v>3033</v>
      </c>
      <c r="C101" s="448" t="s">
        <v>471</v>
      </c>
      <c r="D101" s="461" t="s">
        <v>147</v>
      </c>
      <c r="E101" s="403">
        <v>9569464941</v>
      </c>
      <c r="F101" s="403" t="s">
        <v>413</v>
      </c>
      <c r="G101" s="451"/>
      <c r="H101" s="451"/>
    </row>
    <row r="102" spans="1:8" ht="20.100000000000001" customHeight="1">
      <c r="A102" s="307">
        <v>11</v>
      </c>
      <c r="B102" s="307">
        <v>3128</v>
      </c>
      <c r="C102" s="448" t="s">
        <v>472</v>
      </c>
      <c r="D102" s="461" t="s">
        <v>147</v>
      </c>
      <c r="E102" s="403">
        <v>9492426713</v>
      </c>
      <c r="F102" s="403" t="s">
        <v>473</v>
      </c>
      <c r="G102" s="451"/>
      <c r="H102" s="451"/>
    </row>
    <row r="103" spans="1:8" ht="20.100000000000001" customHeight="1">
      <c r="A103" s="307">
        <v>12</v>
      </c>
      <c r="B103" s="307">
        <v>3133</v>
      </c>
      <c r="C103" s="402" t="s">
        <v>474</v>
      </c>
      <c r="D103" s="461" t="s">
        <v>147</v>
      </c>
      <c r="E103" s="403">
        <v>7013885810</v>
      </c>
      <c r="F103" s="462">
        <v>45853</v>
      </c>
      <c r="G103" s="451"/>
      <c r="H103" s="451"/>
    </row>
    <row r="104" spans="1:8" ht="20.100000000000001" customHeight="1">
      <c r="A104" s="307">
        <v>13</v>
      </c>
      <c r="B104" s="307">
        <v>3202</v>
      </c>
      <c r="C104" s="448" t="s">
        <v>555</v>
      </c>
      <c r="D104" s="461" t="s">
        <v>147</v>
      </c>
      <c r="E104" s="403" t="s">
        <v>554</v>
      </c>
      <c r="F104" s="429">
        <v>45918</v>
      </c>
      <c r="G104" s="451"/>
      <c r="H104" s="451"/>
    </row>
    <row r="105" spans="1:8" ht="20.100000000000001" customHeight="1">
      <c r="A105" s="427"/>
      <c r="B105" s="428"/>
      <c r="C105" s="427"/>
      <c r="D105" s="427"/>
      <c r="E105" s="427"/>
      <c r="F105" s="463"/>
      <c r="G105" s="451"/>
      <c r="H105" s="451"/>
    </row>
    <row r="106" spans="1:8" ht="20.100000000000001" customHeight="1">
      <c r="A106" s="534"/>
      <c r="B106" s="534"/>
      <c r="C106" s="534"/>
      <c r="D106" s="534"/>
      <c r="E106" s="534"/>
      <c r="F106" s="534"/>
      <c r="G106" s="152"/>
      <c r="H106" s="152"/>
    </row>
    <row r="107" spans="1:8" ht="20.100000000000001" customHeight="1">
      <c r="A107" s="53">
        <v>1</v>
      </c>
      <c r="B107" s="53">
        <v>629</v>
      </c>
      <c r="C107" s="54" t="s">
        <v>248</v>
      </c>
      <c r="D107" s="53" t="s">
        <v>270</v>
      </c>
      <c r="E107" s="53">
        <v>9502200265</v>
      </c>
      <c r="F107" s="429">
        <v>40299</v>
      </c>
      <c r="G107" s="152"/>
      <c r="H107" s="152"/>
    </row>
    <row r="108" spans="1:8" ht="20.100000000000001" customHeight="1">
      <c r="A108" s="53">
        <v>2</v>
      </c>
      <c r="B108" s="53">
        <v>3178</v>
      </c>
      <c r="C108" s="54" t="s">
        <v>529</v>
      </c>
      <c r="D108" s="53" t="s">
        <v>270</v>
      </c>
      <c r="E108" s="53" t="s">
        <v>531</v>
      </c>
      <c r="F108" s="429">
        <v>45887</v>
      </c>
      <c r="G108" s="152"/>
      <c r="H108" s="152"/>
    </row>
    <row r="109" spans="1:8" ht="20.100000000000001" customHeight="1">
      <c r="A109" s="53">
        <v>3</v>
      </c>
      <c r="B109" s="53">
        <v>2613</v>
      </c>
      <c r="C109" s="54" t="s">
        <v>272</v>
      </c>
      <c r="D109" s="56" t="s">
        <v>251</v>
      </c>
      <c r="E109" s="53">
        <v>9573912337</v>
      </c>
      <c r="F109" s="429">
        <v>45198</v>
      </c>
      <c r="G109" s="152"/>
      <c r="H109" s="152"/>
    </row>
    <row r="110" spans="1:8" ht="20.100000000000001" customHeight="1">
      <c r="A110" s="53">
        <v>4</v>
      </c>
      <c r="B110" s="53">
        <v>2700</v>
      </c>
      <c r="C110" s="54" t="s">
        <v>273</v>
      </c>
      <c r="D110" s="53" t="s">
        <v>251</v>
      </c>
      <c r="E110" s="53">
        <v>7416390127</v>
      </c>
      <c r="F110" s="429">
        <v>45293</v>
      </c>
      <c r="G110" s="152"/>
      <c r="H110" s="152"/>
    </row>
    <row r="111" spans="1:8" ht="20.100000000000001" customHeight="1">
      <c r="A111" s="53">
        <v>5</v>
      </c>
      <c r="B111" s="53">
        <v>2996</v>
      </c>
      <c r="C111" s="54" t="s">
        <v>346</v>
      </c>
      <c r="D111" s="53" t="s">
        <v>251</v>
      </c>
      <c r="E111" s="53">
        <v>8142888477</v>
      </c>
      <c r="F111" s="429">
        <v>45700</v>
      </c>
      <c r="G111" s="152"/>
      <c r="H111" s="152"/>
    </row>
    <row r="112" spans="1:8" ht="20.100000000000001" customHeight="1">
      <c r="A112" s="87"/>
      <c r="B112" s="87"/>
      <c r="C112" s="87"/>
      <c r="D112" s="87"/>
      <c r="E112" s="87"/>
      <c r="F112" s="82"/>
      <c r="G112" s="152"/>
      <c r="H112" s="152"/>
    </row>
    <row r="113" spans="1:8" ht="20.100000000000001" customHeight="1">
      <c r="A113" s="87"/>
      <c r="B113" s="87"/>
      <c r="C113" s="87"/>
      <c r="D113" s="87"/>
      <c r="E113" s="87"/>
      <c r="F113" s="82"/>
      <c r="G113" s="152"/>
      <c r="H113" s="152"/>
    </row>
    <row r="114" spans="1:8" ht="20.100000000000001" customHeight="1">
      <c r="A114" s="87"/>
      <c r="B114" s="87"/>
      <c r="C114" s="87"/>
      <c r="D114" s="87"/>
      <c r="E114" s="87"/>
      <c r="F114" s="82"/>
      <c r="G114" s="152"/>
      <c r="H114" s="152"/>
    </row>
    <row r="115" spans="1:8" ht="20.100000000000001" customHeight="1">
      <c r="A115" s="87"/>
      <c r="B115" s="87"/>
      <c r="C115" s="87"/>
      <c r="D115" s="87"/>
      <c r="E115" s="87"/>
      <c r="F115" s="82"/>
      <c r="G115" s="152"/>
      <c r="H115" s="152"/>
    </row>
    <row r="116" spans="1:8" ht="20.100000000000001" customHeight="1">
      <c r="A116" s="87"/>
      <c r="B116" s="87"/>
      <c r="C116" s="87"/>
      <c r="D116" s="464" t="s">
        <v>571</v>
      </c>
      <c r="E116" s="464">
        <v>49</v>
      </c>
      <c r="F116" s="82"/>
      <c r="G116" s="152"/>
      <c r="H116" s="152"/>
    </row>
    <row r="117" spans="1:8" ht="20.100000000000001" customHeight="1">
      <c r="A117" s="87"/>
      <c r="B117" s="87"/>
      <c r="C117" s="87"/>
      <c r="D117" s="464" t="s">
        <v>234</v>
      </c>
      <c r="E117" s="464">
        <v>28</v>
      </c>
      <c r="F117" s="82"/>
      <c r="G117" s="152"/>
      <c r="H117" s="152"/>
    </row>
    <row r="118" spans="1:8" ht="20.100000000000001" customHeight="1">
      <c r="A118" s="87"/>
      <c r="B118" s="87"/>
      <c r="C118" s="87"/>
      <c r="D118" s="464" t="s">
        <v>572</v>
      </c>
      <c r="E118" s="464">
        <v>13</v>
      </c>
      <c r="F118" s="82"/>
      <c r="G118" s="152"/>
      <c r="H118" s="152"/>
    </row>
    <row r="119" spans="1:8" ht="20.100000000000001" customHeight="1">
      <c r="A119" s="87"/>
      <c r="B119" s="87"/>
      <c r="C119" s="87"/>
      <c r="D119" s="464" t="s">
        <v>573</v>
      </c>
      <c r="E119" s="464">
        <v>5</v>
      </c>
      <c r="F119" s="82"/>
      <c r="G119" s="152"/>
      <c r="H119" s="152"/>
    </row>
    <row r="120" spans="1:8" ht="20.100000000000001" customHeight="1">
      <c r="A120" s="87"/>
      <c r="B120" s="87"/>
      <c r="C120" s="87"/>
      <c r="D120" s="464" t="s">
        <v>574</v>
      </c>
      <c r="E120" s="464">
        <f>SUM(E116:E119)</f>
        <v>95</v>
      </c>
      <c r="F120" s="82"/>
      <c r="G120" s="152"/>
      <c r="H120" s="152"/>
    </row>
  </sheetData>
  <mergeCells count="10">
    <mergeCell ref="A58:G58"/>
    <mergeCell ref="A59:F59"/>
    <mergeCell ref="A91:F91"/>
    <mergeCell ref="A106:F106"/>
    <mergeCell ref="A1:G1"/>
    <mergeCell ref="A2:G2"/>
    <mergeCell ref="A3:G3"/>
    <mergeCell ref="A4:G4"/>
    <mergeCell ref="A56:G56"/>
    <mergeCell ref="A57:G57"/>
  </mergeCells>
  <conditionalFormatting sqref="B20:B21">
    <cfRule type="duplicateValues" dxfId="3" priority="1"/>
  </conditionalFormatting>
  <conditionalFormatting sqref="B29 B31">
    <cfRule type="duplicateValues" dxfId="2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11"/>
  <sheetViews>
    <sheetView tabSelected="1" workbookViewId="0">
      <selection activeCell="D10" sqref="D10"/>
    </sheetView>
  </sheetViews>
  <sheetFormatPr defaultRowHeight="14.4"/>
  <cols>
    <col min="1" max="1" width="7.44140625" customWidth="1"/>
    <col min="2" max="2" width="9.109375" style="1" customWidth="1"/>
    <col min="3" max="3" width="37.44140625" customWidth="1"/>
    <col min="4" max="4" width="28.5546875" bestFit="1" customWidth="1"/>
    <col min="5" max="5" width="19.5546875" customWidth="1"/>
    <col min="6" max="6" width="14.33203125" hidden="1" customWidth="1"/>
    <col min="7" max="7" width="11.6640625" hidden="1" customWidth="1"/>
    <col min="8" max="8" width="0" hidden="1" customWidth="1"/>
    <col min="9" max="9" width="12" hidden="1" customWidth="1"/>
  </cols>
  <sheetData>
    <row r="1" spans="1:8" ht="16.5" customHeight="1">
      <c r="A1" s="514" t="s">
        <v>47</v>
      </c>
      <c r="B1" s="514"/>
      <c r="C1" s="514"/>
      <c r="D1" s="514"/>
      <c r="E1" s="514"/>
      <c r="F1" s="514"/>
      <c r="G1" s="514"/>
      <c r="H1" s="514"/>
    </row>
    <row r="2" spans="1:8" ht="16.5" customHeight="1">
      <c r="A2" s="514" t="s">
        <v>274</v>
      </c>
      <c r="B2" s="514"/>
      <c r="C2" s="514"/>
      <c r="D2" s="514"/>
      <c r="E2" s="514"/>
      <c r="F2" s="514"/>
      <c r="G2" s="514"/>
      <c r="H2" s="514"/>
    </row>
    <row r="3" spans="1:8" ht="16.5" customHeight="1">
      <c r="A3" s="522" t="s">
        <v>565</v>
      </c>
      <c r="B3" s="522"/>
      <c r="C3" s="522"/>
      <c r="D3" s="522"/>
      <c r="E3" s="522"/>
      <c r="F3" s="522"/>
      <c r="G3" s="522"/>
      <c r="H3" s="522"/>
    </row>
    <row r="4" spans="1:8" ht="55.5" hidden="1" customHeight="1">
      <c r="A4" s="521" t="s">
        <v>704</v>
      </c>
      <c r="B4" s="521"/>
      <c r="C4" s="521"/>
      <c r="D4" s="521"/>
      <c r="E4" s="521"/>
      <c r="F4" s="521"/>
      <c r="G4" s="521"/>
      <c r="H4" s="521"/>
    </row>
    <row r="5" spans="1:8" ht="2.25" hidden="1" customHeight="1">
      <c r="A5" s="505"/>
      <c r="B5" s="276"/>
      <c r="C5" s="276"/>
      <c r="D5" s="276"/>
      <c r="E5" s="276"/>
      <c r="F5" s="276"/>
      <c r="G5" s="276"/>
    </row>
    <row r="6" spans="1:8" ht="20.100000000000001" customHeight="1">
      <c r="A6" s="3" t="s">
        <v>1</v>
      </c>
      <c r="B6" s="3" t="s">
        <v>216</v>
      </c>
      <c r="C6" s="3" t="s">
        <v>3</v>
      </c>
      <c r="D6" s="3" t="s">
        <v>4</v>
      </c>
      <c r="E6" s="3" t="s">
        <v>8</v>
      </c>
      <c r="F6" s="3" t="s">
        <v>394</v>
      </c>
      <c r="G6" s="128" t="s">
        <v>551</v>
      </c>
      <c r="H6" s="3" t="s">
        <v>326</v>
      </c>
    </row>
    <row r="7" spans="1:8" ht="33" customHeight="1">
      <c r="A7" s="53">
        <v>1</v>
      </c>
      <c r="B7" s="53">
        <v>1251</v>
      </c>
      <c r="C7" s="67" t="s">
        <v>9</v>
      </c>
      <c r="D7" s="68" t="s">
        <v>560</v>
      </c>
      <c r="E7" s="68" t="s">
        <v>715</v>
      </c>
      <c r="F7" s="444">
        <v>42387</v>
      </c>
      <c r="G7" s="500">
        <f t="shared" ref="G7:G26" ca="1" si="0">DATEDIF(F7,TODAY(),"y")</f>
        <v>10</v>
      </c>
      <c r="H7" s="69"/>
    </row>
    <row r="8" spans="1:8" ht="19.5" customHeight="1">
      <c r="A8" s="53">
        <v>2</v>
      </c>
      <c r="B8" s="53">
        <v>308</v>
      </c>
      <c r="C8" s="67" t="s">
        <v>299</v>
      </c>
      <c r="D8" s="68" t="s">
        <v>19</v>
      </c>
      <c r="E8" s="68" t="s">
        <v>714</v>
      </c>
      <c r="F8" s="444">
        <v>39259</v>
      </c>
      <c r="G8" s="500">
        <f t="shared" ca="1" si="0"/>
        <v>18</v>
      </c>
      <c r="H8" s="69"/>
    </row>
    <row r="9" spans="1:8" ht="19.5" customHeight="1">
      <c r="A9" s="53">
        <v>3</v>
      </c>
      <c r="B9" s="53">
        <v>1182</v>
      </c>
      <c r="C9" s="70" t="s">
        <v>26</v>
      </c>
      <c r="D9" s="71" t="s">
        <v>396</v>
      </c>
      <c r="E9" s="68">
        <v>9951671558</v>
      </c>
      <c r="F9" s="445">
        <v>42193</v>
      </c>
      <c r="G9" s="500">
        <f t="shared" ca="1" si="0"/>
        <v>10</v>
      </c>
      <c r="H9" s="69"/>
    </row>
    <row r="10" spans="1:8" ht="19.5" customHeight="1">
      <c r="A10" s="53">
        <v>4</v>
      </c>
      <c r="B10" s="53">
        <v>2827</v>
      </c>
      <c r="C10" s="55" t="s">
        <v>279</v>
      </c>
      <c r="D10" s="71" t="s">
        <v>19</v>
      </c>
      <c r="E10" s="68" t="s">
        <v>714</v>
      </c>
      <c r="F10" s="95">
        <v>45495</v>
      </c>
      <c r="G10" s="500">
        <f t="shared" ca="1" si="0"/>
        <v>1</v>
      </c>
      <c r="H10" s="69"/>
    </row>
    <row r="11" spans="1:8" ht="19.5" customHeight="1">
      <c r="A11" s="53">
        <v>5</v>
      </c>
      <c r="B11" s="53">
        <v>523</v>
      </c>
      <c r="C11" s="73" t="s">
        <v>382</v>
      </c>
      <c r="D11" s="71" t="s">
        <v>180</v>
      </c>
      <c r="E11" s="53">
        <v>9441536410</v>
      </c>
      <c r="F11" s="446">
        <v>40025</v>
      </c>
      <c r="G11" s="500">
        <f t="shared" ca="1" si="0"/>
        <v>16</v>
      </c>
      <c r="H11" s="69"/>
    </row>
    <row r="12" spans="1:8" ht="19.5" customHeight="1">
      <c r="A12" s="53">
        <v>6</v>
      </c>
      <c r="B12" s="53">
        <v>312</v>
      </c>
      <c r="C12" s="67" t="s">
        <v>42</v>
      </c>
      <c r="D12" s="481" t="s">
        <v>180</v>
      </c>
      <c r="E12" s="68">
        <v>8297208489</v>
      </c>
      <c r="F12" s="445">
        <v>40206</v>
      </c>
      <c r="G12" s="500">
        <f t="shared" ca="1" si="0"/>
        <v>16</v>
      </c>
      <c r="H12" s="69"/>
    </row>
    <row r="13" spans="1:8" ht="19.5" customHeight="1">
      <c r="A13" s="53">
        <v>7</v>
      </c>
      <c r="B13" s="53">
        <v>2090</v>
      </c>
      <c r="C13" s="54" t="s">
        <v>33</v>
      </c>
      <c r="D13" s="71" t="s">
        <v>180</v>
      </c>
      <c r="E13" s="68">
        <v>9441540580</v>
      </c>
      <c r="F13" s="445">
        <v>44107</v>
      </c>
      <c r="G13" s="500">
        <f t="shared" ca="1" si="0"/>
        <v>5</v>
      </c>
      <c r="H13" s="69"/>
    </row>
    <row r="14" spans="1:8" ht="19.5" customHeight="1">
      <c r="A14" s="53">
        <v>8</v>
      </c>
      <c r="B14" s="53">
        <v>540</v>
      </c>
      <c r="C14" s="67" t="s">
        <v>378</v>
      </c>
      <c r="D14" s="71" t="s">
        <v>180</v>
      </c>
      <c r="E14" s="68">
        <v>9550367172</v>
      </c>
      <c r="F14" s="446">
        <v>40032</v>
      </c>
      <c r="G14" s="500">
        <f t="shared" ca="1" si="0"/>
        <v>16</v>
      </c>
      <c r="H14" s="69"/>
    </row>
    <row r="15" spans="1:8" ht="19.5" customHeight="1">
      <c r="A15" s="53">
        <v>9</v>
      </c>
      <c r="B15" s="53">
        <v>2490</v>
      </c>
      <c r="C15" s="55" t="s">
        <v>83</v>
      </c>
      <c r="D15" s="68" t="s">
        <v>157</v>
      </c>
      <c r="E15" s="53">
        <v>9848129660</v>
      </c>
      <c r="F15" s="446">
        <v>45084</v>
      </c>
      <c r="G15" s="500">
        <f t="shared" ca="1" si="0"/>
        <v>2</v>
      </c>
      <c r="H15" s="69"/>
    </row>
    <row r="16" spans="1:8" ht="19.5" customHeight="1">
      <c r="A16" s="53">
        <v>10</v>
      </c>
      <c r="B16" s="53">
        <v>2499</v>
      </c>
      <c r="C16" s="73" t="s">
        <v>221</v>
      </c>
      <c r="D16" s="68" t="s">
        <v>157</v>
      </c>
      <c r="E16" s="53">
        <v>9994476533</v>
      </c>
      <c r="F16" s="95">
        <v>45103</v>
      </c>
      <c r="G16" s="500">
        <f t="shared" ca="1" si="0"/>
        <v>2</v>
      </c>
      <c r="H16" s="69"/>
    </row>
    <row r="17" spans="1:8" ht="19.5" customHeight="1">
      <c r="A17" s="53">
        <v>11</v>
      </c>
      <c r="B17" s="53">
        <v>2501</v>
      </c>
      <c r="C17" s="55" t="s">
        <v>101</v>
      </c>
      <c r="D17" s="68" t="s">
        <v>157</v>
      </c>
      <c r="E17" s="53">
        <v>9848052474</v>
      </c>
      <c r="F17" s="95">
        <v>45103</v>
      </c>
      <c r="G17" s="500">
        <f t="shared" ca="1" si="0"/>
        <v>2</v>
      </c>
      <c r="H17" s="69"/>
    </row>
    <row r="18" spans="1:8" ht="19.5" customHeight="1">
      <c r="A18" s="53">
        <v>12</v>
      </c>
      <c r="B18" s="53">
        <v>2541</v>
      </c>
      <c r="C18" s="54" t="s">
        <v>127</v>
      </c>
      <c r="D18" s="68" t="s">
        <v>157</v>
      </c>
      <c r="E18" s="53">
        <v>7981738522</v>
      </c>
      <c r="F18" s="446">
        <v>45139</v>
      </c>
      <c r="G18" s="500">
        <f t="shared" ca="1" si="0"/>
        <v>2</v>
      </c>
      <c r="H18" s="69"/>
    </row>
    <row r="19" spans="1:8" ht="19.5" customHeight="1">
      <c r="A19" s="53">
        <v>13</v>
      </c>
      <c r="B19" s="71">
        <v>2689</v>
      </c>
      <c r="C19" s="447" t="s">
        <v>154</v>
      </c>
      <c r="D19" s="68" t="s">
        <v>157</v>
      </c>
      <c r="E19" s="56">
        <v>7006157037</v>
      </c>
      <c r="F19" s="446">
        <v>45289</v>
      </c>
      <c r="G19" s="500">
        <f t="shared" ca="1" si="0"/>
        <v>2</v>
      </c>
      <c r="H19" s="69"/>
    </row>
    <row r="20" spans="1:8" ht="19.5" customHeight="1">
      <c r="A20" s="53">
        <v>14</v>
      </c>
      <c r="B20" s="53">
        <v>2947</v>
      </c>
      <c r="C20" s="73" t="s">
        <v>204</v>
      </c>
      <c r="D20" s="68" t="s">
        <v>157</v>
      </c>
      <c r="E20" s="53">
        <v>9032045840</v>
      </c>
      <c r="F20" s="446">
        <v>45632</v>
      </c>
      <c r="G20" s="500">
        <f t="shared" ca="1" si="0"/>
        <v>1</v>
      </c>
      <c r="H20" s="69"/>
    </row>
    <row r="21" spans="1:8" ht="19.5" customHeight="1">
      <c r="A21" s="53">
        <v>15</v>
      </c>
      <c r="B21" s="75" t="s">
        <v>397</v>
      </c>
      <c r="C21" s="70" t="s">
        <v>67</v>
      </c>
      <c r="D21" s="71" t="s">
        <v>68</v>
      </c>
      <c r="E21" s="53">
        <v>9614547390</v>
      </c>
      <c r="F21" s="445">
        <v>45014</v>
      </c>
      <c r="G21" s="500">
        <f t="shared" ca="1" si="0"/>
        <v>3</v>
      </c>
      <c r="H21" s="69"/>
    </row>
    <row r="22" spans="1:8" ht="19.5" customHeight="1">
      <c r="A22" s="53">
        <v>16</v>
      </c>
      <c r="B22" s="53">
        <v>2454</v>
      </c>
      <c r="C22" s="54" t="s">
        <v>318</v>
      </c>
      <c r="D22" s="71" t="s">
        <v>68</v>
      </c>
      <c r="E22" s="53">
        <v>7729990303</v>
      </c>
      <c r="F22" s="445">
        <v>45047</v>
      </c>
      <c r="G22" s="500">
        <f t="shared" ca="1" si="0"/>
        <v>2</v>
      </c>
      <c r="H22" s="69"/>
    </row>
    <row r="23" spans="1:8" ht="19.5" customHeight="1">
      <c r="A23" s="53">
        <v>17</v>
      </c>
      <c r="B23" s="53">
        <v>2502</v>
      </c>
      <c r="C23" s="55" t="s">
        <v>359</v>
      </c>
      <c r="D23" s="71" t="s">
        <v>68</v>
      </c>
      <c r="E23" s="53">
        <v>9600605782</v>
      </c>
      <c r="F23" s="95">
        <v>45105</v>
      </c>
      <c r="G23" s="500">
        <f t="shared" ca="1" si="0"/>
        <v>2</v>
      </c>
      <c r="H23" s="69"/>
    </row>
    <row r="24" spans="1:8" ht="19.5" customHeight="1">
      <c r="A24" s="53">
        <v>18</v>
      </c>
      <c r="B24" s="53">
        <v>2514</v>
      </c>
      <c r="C24" s="55" t="s">
        <v>113</v>
      </c>
      <c r="D24" s="71" t="s">
        <v>68</v>
      </c>
      <c r="E24" s="53">
        <v>9500312191</v>
      </c>
      <c r="F24" s="95">
        <v>45117</v>
      </c>
      <c r="G24" s="500">
        <f t="shared" ca="1" si="0"/>
        <v>2</v>
      </c>
      <c r="H24" s="69"/>
    </row>
    <row r="25" spans="1:8" ht="19.5" customHeight="1">
      <c r="A25" s="53">
        <v>19</v>
      </c>
      <c r="B25" s="53">
        <v>2519</v>
      </c>
      <c r="C25" s="55" t="s">
        <v>120</v>
      </c>
      <c r="D25" s="71" t="s">
        <v>68</v>
      </c>
      <c r="E25" s="71">
        <v>8978116834</v>
      </c>
      <c r="F25" s="446">
        <v>45121</v>
      </c>
      <c r="G25" s="500">
        <f t="shared" ca="1" si="0"/>
        <v>2</v>
      </c>
      <c r="H25" s="69"/>
    </row>
    <row r="26" spans="1:8" ht="19.5" customHeight="1">
      <c r="A26" s="53">
        <v>20</v>
      </c>
      <c r="B26" s="53">
        <v>2934</v>
      </c>
      <c r="C26" s="73" t="s">
        <v>193</v>
      </c>
      <c r="D26" s="71" t="s">
        <v>68</v>
      </c>
      <c r="E26" s="56">
        <v>9440664462</v>
      </c>
      <c r="F26" s="446">
        <v>45600</v>
      </c>
      <c r="G26" s="500">
        <f t="shared" ca="1" si="0"/>
        <v>1</v>
      </c>
      <c r="H26" s="69"/>
    </row>
    <row r="27" spans="1:8" ht="19.5" customHeight="1">
      <c r="A27" s="53">
        <v>21</v>
      </c>
      <c r="B27" s="53">
        <v>3080</v>
      </c>
      <c r="C27" s="448" t="s">
        <v>398</v>
      </c>
      <c r="D27" s="71" t="s">
        <v>68</v>
      </c>
      <c r="E27" s="56">
        <v>6300921477</v>
      </c>
      <c r="F27" s="446" t="s">
        <v>399</v>
      </c>
      <c r="G27" s="500">
        <v>0</v>
      </c>
      <c r="H27" s="69"/>
    </row>
    <row r="28" spans="1:8" ht="19.5" customHeight="1">
      <c r="A28" s="53">
        <v>22</v>
      </c>
      <c r="B28" s="449" t="s">
        <v>420</v>
      </c>
      <c r="C28" s="448" t="s">
        <v>415</v>
      </c>
      <c r="D28" s="71" t="s">
        <v>68</v>
      </c>
      <c r="E28" s="56">
        <v>9492688417</v>
      </c>
      <c r="F28" s="446" t="s">
        <v>421</v>
      </c>
      <c r="G28" s="500">
        <v>0</v>
      </c>
      <c r="H28" s="69"/>
    </row>
    <row r="29" spans="1:8" ht="19.5" customHeight="1">
      <c r="A29" s="53">
        <v>23</v>
      </c>
      <c r="B29" s="53">
        <v>3205</v>
      </c>
      <c r="C29" s="448" t="s">
        <v>556</v>
      </c>
      <c r="D29" s="53" t="s">
        <v>68</v>
      </c>
      <c r="E29" s="56">
        <v>9494841792</v>
      </c>
      <c r="F29" s="446">
        <v>45838</v>
      </c>
      <c r="G29" s="500">
        <f t="shared" ref="G29:G37" ca="1" si="1">DATEDIF(F29,TODAY(),"y")</f>
        <v>0</v>
      </c>
      <c r="H29" s="69"/>
    </row>
    <row r="30" spans="1:8" ht="19.5" customHeight="1">
      <c r="A30" s="53">
        <v>24</v>
      </c>
      <c r="B30" s="53">
        <v>1181</v>
      </c>
      <c r="C30" s="70" t="s">
        <v>55</v>
      </c>
      <c r="D30" s="71" t="s">
        <v>68</v>
      </c>
      <c r="E30" s="68">
        <v>9493670612</v>
      </c>
      <c r="F30" s="445">
        <v>42193</v>
      </c>
      <c r="G30" s="500">
        <f t="shared" ca="1" si="1"/>
        <v>10</v>
      </c>
      <c r="H30" s="69"/>
    </row>
    <row r="31" spans="1:8" ht="19.5" customHeight="1">
      <c r="A31" s="53">
        <v>25</v>
      </c>
      <c r="B31" s="53">
        <v>1243</v>
      </c>
      <c r="C31" s="70" t="s">
        <v>58</v>
      </c>
      <c r="D31" s="71" t="s">
        <v>68</v>
      </c>
      <c r="E31" s="68">
        <v>8790166779</v>
      </c>
      <c r="F31" s="445">
        <v>42354</v>
      </c>
      <c r="G31" s="500">
        <f t="shared" ca="1" si="1"/>
        <v>10</v>
      </c>
      <c r="H31" s="69"/>
    </row>
    <row r="32" spans="1:8" ht="19.5" customHeight="1">
      <c r="A32" s="53">
        <v>26</v>
      </c>
      <c r="B32" s="53">
        <v>2728</v>
      </c>
      <c r="C32" s="55" t="s">
        <v>384</v>
      </c>
      <c r="D32" s="53" t="s">
        <v>582</v>
      </c>
      <c r="E32" s="53">
        <v>7981960066</v>
      </c>
      <c r="F32" s="95">
        <v>45385</v>
      </c>
      <c r="G32" s="500">
        <f t="shared" ca="1" si="1"/>
        <v>2</v>
      </c>
      <c r="H32" s="69"/>
    </row>
    <row r="33" spans="1:8" ht="19.5" customHeight="1">
      <c r="A33" s="53">
        <v>27</v>
      </c>
      <c r="B33" s="53">
        <v>2765</v>
      </c>
      <c r="C33" s="54" t="s">
        <v>168</v>
      </c>
      <c r="D33" s="71" t="s">
        <v>68</v>
      </c>
      <c r="E33" s="53">
        <v>9788682940</v>
      </c>
      <c r="F33" s="446">
        <v>45453</v>
      </c>
      <c r="G33" s="500">
        <f t="shared" ca="1" si="1"/>
        <v>1</v>
      </c>
      <c r="H33" s="69"/>
    </row>
    <row r="34" spans="1:8" ht="19.5" customHeight="1">
      <c r="A34" s="53">
        <v>28</v>
      </c>
      <c r="B34" s="53">
        <v>2512</v>
      </c>
      <c r="C34" s="54" t="s">
        <v>189</v>
      </c>
      <c r="D34" s="71" t="s">
        <v>68</v>
      </c>
      <c r="E34" s="53">
        <v>9292709507</v>
      </c>
      <c r="F34" s="445">
        <v>45117</v>
      </c>
      <c r="G34" s="500">
        <f t="shared" ca="1" si="1"/>
        <v>2</v>
      </c>
      <c r="H34" s="69"/>
    </row>
    <row r="35" spans="1:8" ht="19.5" customHeight="1">
      <c r="A35" s="53">
        <v>29</v>
      </c>
      <c r="B35" s="53">
        <v>2898</v>
      </c>
      <c r="C35" s="73" t="s">
        <v>190</v>
      </c>
      <c r="D35" s="71" t="s">
        <v>68</v>
      </c>
      <c r="E35" s="53">
        <v>9989895732</v>
      </c>
      <c r="F35" s="446">
        <v>45531</v>
      </c>
      <c r="G35" s="500">
        <f t="shared" ca="1" si="1"/>
        <v>1</v>
      </c>
      <c r="H35" s="69"/>
    </row>
    <row r="36" spans="1:8" ht="19.5" customHeight="1">
      <c r="A36" s="53">
        <v>30</v>
      </c>
      <c r="B36" s="53">
        <v>2965</v>
      </c>
      <c r="C36" s="73" t="s">
        <v>365</v>
      </c>
      <c r="D36" s="53" t="s">
        <v>582</v>
      </c>
      <c r="E36" s="56">
        <v>9642674547</v>
      </c>
      <c r="F36" s="446">
        <v>45663</v>
      </c>
      <c r="G36" s="500">
        <f t="shared" ca="1" si="1"/>
        <v>1</v>
      </c>
      <c r="H36" s="69"/>
    </row>
    <row r="37" spans="1:8" ht="19.5" customHeight="1">
      <c r="A37" s="53">
        <v>31</v>
      </c>
      <c r="B37" s="53">
        <v>3038</v>
      </c>
      <c r="C37" s="448" t="s">
        <v>385</v>
      </c>
      <c r="D37" s="53" t="s">
        <v>582</v>
      </c>
      <c r="E37" s="56">
        <v>8330983764</v>
      </c>
      <c r="F37" s="446">
        <v>45742</v>
      </c>
      <c r="G37" s="500">
        <f t="shared" ca="1" si="1"/>
        <v>1</v>
      </c>
      <c r="H37" s="69"/>
    </row>
    <row r="38" spans="1:8" ht="19.5" customHeight="1">
      <c r="A38" s="53">
        <v>32</v>
      </c>
      <c r="B38" s="53">
        <v>3073</v>
      </c>
      <c r="C38" s="73" t="s">
        <v>400</v>
      </c>
      <c r="D38" s="53" t="s">
        <v>68</v>
      </c>
      <c r="E38" s="56">
        <v>9885657789</v>
      </c>
      <c r="F38" s="56" t="s">
        <v>401</v>
      </c>
      <c r="G38" s="500">
        <v>0</v>
      </c>
      <c r="H38" s="69"/>
    </row>
    <row r="39" spans="1:8" ht="19.5" customHeight="1">
      <c r="A39" s="53">
        <v>33</v>
      </c>
      <c r="B39" s="53">
        <v>3081</v>
      </c>
      <c r="C39" s="73" t="s">
        <v>419</v>
      </c>
      <c r="D39" s="53" t="s">
        <v>68</v>
      </c>
      <c r="E39" s="56">
        <v>7338323477</v>
      </c>
      <c r="F39" s="56" t="s">
        <v>403</v>
      </c>
      <c r="G39" s="500">
        <v>0</v>
      </c>
      <c r="H39" s="69"/>
    </row>
    <row r="40" spans="1:8" ht="19.5" customHeight="1">
      <c r="A40" s="53">
        <v>34</v>
      </c>
      <c r="B40" s="53">
        <v>3084</v>
      </c>
      <c r="C40" s="73" t="s">
        <v>404</v>
      </c>
      <c r="D40" s="53" t="s">
        <v>582</v>
      </c>
      <c r="E40" s="56">
        <v>9492617314</v>
      </c>
      <c r="F40" s="56" t="s">
        <v>405</v>
      </c>
      <c r="G40" s="500">
        <v>0</v>
      </c>
      <c r="H40" s="69"/>
    </row>
    <row r="41" spans="1:8" ht="19.5" customHeight="1">
      <c r="A41" s="53">
        <v>35</v>
      </c>
      <c r="B41" s="53">
        <v>2921</v>
      </c>
      <c r="C41" s="73" t="s">
        <v>364</v>
      </c>
      <c r="D41" s="53" t="s">
        <v>582</v>
      </c>
      <c r="E41" s="56">
        <v>9014766760</v>
      </c>
      <c r="F41" s="446">
        <v>45580</v>
      </c>
      <c r="G41" s="500">
        <f t="shared" ref="G41:G53" ca="1" si="2">DATEDIF(F41,TODAY(),"y")</f>
        <v>1</v>
      </c>
      <c r="H41" s="69"/>
    </row>
    <row r="42" spans="1:8" ht="19.5" customHeight="1">
      <c r="A42" s="53">
        <v>36</v>
      </c>
      <c r="B42" s="53">
        <v>3089</v>
      </c>
      <c r="C42" s="73" t="s">
        <v>416</v>
      </c>
      <c r="D42" s="53" t="s">
        <v>582</v>
      </c>
      <c r="E42" s="56">
        <v>8790242128</v>
      </c>
      <c r="F42" s="446">
        <v>45826</v>
      </c>
      <c r="G42" s="500">
        <f t="shared" ca="1" si="2"/>
        <v>0</v>
      </c>
      <c r="H42" s="69"/>
    </row>
    <row r="43" spans="1:8" ht="19.5" customHeight="1">
      <c r="A43" s="53">
        <v>37</v>
      </c>
      <c r="B43" s="53">
        <v>3129</v>
      </c>
      <c r="C43" s="73" t="s">
        <v>422</v>
      </c>
      <c r="D43" s="53" t="s">
        <v>582</v>
      </c>
      <c r="E43" s="56">
        <v>9491432819</v>
      </c>
      <c r="F43" s="446">
        <v>45845</v>
      </c>
      <c r="G43" s="500">
        <f t="shared" ca="1" si="2"/>
        <v>0</v>
      </c>
      <c r="H43" s="69"/>
    </row>
    <row r="44" spans="1:8" ht="19.5" customHeight="1">
      <c r="A44" s="53">
        <v>38</v>
      </c>
      <c r="B44" s="53">
        <v>2925</v>
      </c>
      <c r="C44" s="73" t="s">
        <v>369</v>
      </c>
      <c r="D44" s="53" t="s">
        <v>62</v>
      </c>
      <c r="E44" s="56">
        <v>7995794652</v>
      </c>
      <c r="F44" s="446">
        <v>45582</v>
      </c>
      <c r="G44" s="500">
        <f t="shared" ca="1" si="2"/>
        <v>1</v>
      </c>
      <c r="H44" s="69"/>
    </row>
    <row r="45" spans="1:8" ht="19.5" customHeight="1">
      <c r="A45" s="53">
        <v>39</v>
      </c>
      <c r="B45" s="53">
        <v>2936</v>
      </c>
      <c r="C45" s="73" t="s">
        <v>197</v>
      </c>
      <c r="D45" s="71" t="s">
        <v>198</v>
      </c>
      <c r="E45" s="56">
        <v>8125544167</v>
      </c>
      <c r="F45" s="446">
        <v>45600</v>
      </c>
      <c r="G45" s="500">
        <f t="shared" ca="1" si="2"/>
        <v>1</v>
      </c>
      <c r="H45" s="69"/>
    </row>
    <row r="46" spans="1:8" ht="19.5" customHeight="1">
      <c r="A46" s="53">
        <v>40</v>
      </c>
      <c r="B46" s="307">
        <v>30744</v>
      </c>
      <c r="C46" s="450" t="s">
        <v>308</v>
      </c>
      <c r="D46" s="307" t="s">
        <v>198</v>
      </c>
      <c r="E46" s="307">
        <v>8790500801</v>
      </c>
      <c r="F46" s="446"/>
      <c r="G46" s="500"/>
      <c r="H46" s="69"/>
    </row>
    <row r="47" spans="1:8" ht="19.5" customHeight="1">
      <c r="A47" s="53">
        <v>41</v>
      </c>
      <c r="B47" s="53">
        <v>3052</v>
      </c>
      <c r="C47" s="448" t="s">
        <v>202</v>
      </c>
      <c r="D47" s="53" t="s">
        <v>372</v>
      </c>
      <c r="E47" s="56">
        <v>7331142998</v>
      </c>
      <c r="F47" s="446">
        <v>45778</v>
      </c>
      <c r="G47" s="500">
        <f t="shared" ca="1" si="2"/>
        <v>0</v>
      </c>
      <c r="H47" s="69"/>
    </row>
    <row r="48" spans="1:8" ht="19.5" customHeight="1">
      <c r="A48" s="53">
        <v>42</v>
      </c>
      <c r="B48" s="307">
        <v>30410</v>
      </c>
      <c r="C48" s="450" t="s">
        <v>408</v>
      </c>
      <c r="D48" s="53" t="s">
        <v>228</v>
      </c>
      <c r="E48" s="307">
        <v>7995622962</v>
      </c>
      <c r="F48" s="414">
        <v>44928</v>
      </c>
      <c r="G48" s="500">
        <f t="shared" ca="1" si="2"/>
        <v>3</v>
      </c>
      <c r="H48" s="69"/>
    </row>
    <row r="49" spans="1:8" ht="19.5" customHeight="1">
      <c r="A49" s="53">
        <v>43</v>
      </c>
      <c r="B49" s="307">
        <v>31143</v>
      </c>
      <c r="C49" s="136" t="s">
        <v>575</v>
      </c>
      <c r="D49" s="307" t="s">
        <v>228</v>
      </c>
      <c r="E49" s="307">
        <v>9381279468</v>
      </c>
      <c r="F49" s="429">
        <v>45964</v>
      </c>
      <c r="G49" s="500">
        <f t="shared" ca="1" si="2"/>
        <v>0</v>
      </c>
      <c r="H49" s="69"/>
    </row>
    <row r="50" spans="1:8" ht="19.5" customHeight="1">
      <c r="A50" s="53">
        <v>44</v>
      </c>
      <c r="B50" s="53">
        <v>633</v>
      </c>
      <c r="C50" s="54" t="s">
        <v>305</v>
      </c>
      <c r="D50" s="53" t="s">
        <v>320</v>
      </c>
      <c r="E50" s="53">
        <v>9494678628</v>
      </c>
      <c r="F50" s="95">
        <v>40380</v>
      </c>
      <c r="G50" s="500">
        <f t="shared" ca="1" si="2"/>
        <v>15</v>
      </c>
      <c r="H50" s="69"/>
    </row>
    <row r="51" spans="1:8" ht="19.5" customHeight="1">
      <c r="A51" s="53">
        <v>45</v>
      </c>
      <c r="B51" s="53">
        <v>2285</v>
      </c>
      <c r="C51" s="54" t="s">
        <v>306</v>
      </c>
      <c r="D51" s="53" t="s">
        <v>321</v>
      </c>
      <c r="E51" s="53">
        <v>9640066261</v>
      </c>
      <c r="F51" s="95">
        <v>44718</v>
      </c>
      <c r="G51" s="500">
        <f t="shared" ca="1" si="2"/>
        <v>3</v>
      </c>
      <c r="H51" s="69"/>
    </row>
    <row r="52" spans="1:8" ht="19.5" customHeight="1">
      <c r="A52" s="53">
        <v>46</v>
      </c>
      <c r="B52" s="53">
        <v>31168</v>
      </c>
      <c r="C52" s="54" t="s">
        <v>546</v>
      </c>
      <c r="D52" s="53" t="s">
        <v>581</v>
      </c>
      <c r="E52" s="53">
        <v>8074365175</v>
      </c>
      <c r="F52" s="453">
        <v>45993</v>
      </c>
      <c r="G52" s="500">
        <f t="shared" ca="1" si="2"/>
        <v>0</v>
      </c>
      <c r="H52" s="69"/>
    </row>
    <row r="53" spans="1:8" ht="19.5" customHeight="1">
      <c r="A53" s="53">
        <v>47</v>
      </c>
      <c r="B53" s="53">
        <v>31193</v>
      </c>
      <c r="C53" s="419" t="s">
        <v>705</v>
      </c>
      <c r="D53" s="53" t="s">
        <v>581</v>
      </c>
      <c r="E53" s="53">
        <v>8341185708</v>
      </c>
      <c r="F53" s="453">
        <v>46043</v>
      </c>
      <c r="G53" s="500">
        <f t="shared" ca="1" si="2"/>
        <v>0</v>
      </c>
      <c r="H53" s="69"/>
    </row>
    <row r="54" spans="1:8" ht="22.5" customHeight="1">
      <c r="A54" s="81"/>
      <c r="G54" s="443"/>
    </row>
    <row r="55" spans="1:8" ht="20.100000000000001" hidden="1" customHeight="1">
      <c r="A55" s="519" t="s">
        <v>47</v>
      </c>
      <c r="B55" s="519"/>
      <c r="C55" s="519"/>
      <c r="D55" s="519"/>
      <c r="E55" s="519"/>
      <c r="F55" s="519"/>
      <c r="G55" s="519"/>
    </row>
    <row r="56" spans="1:8" ht="16.5" hidden="1" customHeight="1">
      <c r="A56" s="520" t="s">
        <v>274</v>
      </c>
      <c r="B56" s="520"/>
      <c r="C56" s="520"/>
      <c r="D56" s="520"/>
      <c r="E56" s="520"/>
      <c r="F56" s="520"/>
      <c r="G56" s="520"/>
    </row>
    <row r="57" spans="1:8" ht="20.100000000000001" customHeight="1">
      <c r="A57" s="515" t="s">
        <v>566</v>
      </c>
      <c r="B57" s="516"/>
      <c r="C57" s="516"/>
      <c r="D57" s="516"/>
      <c r="E57" s="516"/>
      <c r="F57" s="516"/>
      <c r="G57" s="516"/>
      <c r="H57" s="516"/>
    </row>
    <row r="58" spans="1:8" ht="9.75" customHeight="1">
      <c r="A58" s="517"/>
      <c r="B58" s="517"/>
      <c r="C58" s="517"/>
      <c r="D58" s="517"/>
      <c r="E58" s="517"/>
      <c r="F58" s="517"/>
      <c r="G58" s="506"/>
    </row>
    <row r="59" spans="1:8" ht="30">
      <c r="A59" s="456" t="s">
        <v>557</v>
      </c>
      <c r="B59" s="456" t="s">
        <v>285</v>
      </c>
      <c r="C59" s="456" t="s">
        <v>446</v>
      </c>
      <c r="D59" s="456" t="s">
        <v>4</v>
      </c>
      <c r="E59" s="3" t="s">
        <v>395</v>
      </c>
      <c r="F59" s="3" t="s">
        <v>394</v>
      </c>
      <c r="G59" s="128" t="s">
        <v>395</v>
      </c>
      <c r="H59" s="504" t="s">
        <v>276</v>
      </c>
    </row>
    <row r="60" spans="1:8" ht="21.75" customHeight="1">
      <c r="A60" s="53">
        <v>1</v>
      </c>
      <c r="B60" s="307">
        <v>30904</v>
      </c>
      <c r="C60" s="474" t="s">
        <v>391</v>
      </c>
      <c r="D60" s="53" t="s">
        <v>62</v>
      </c>
      <c r="E60" s="53">
        <v>8688928251</v>
      </c>
      <c r="F60" s="95">
        <v>45817</v>
      </c>
      <c r="G60" s="128"/>
      <c r="H60" s="69"/>
    </row>
    <row r="61" spans="1:8" ht="21.75" customHeight="1">
      <c r="A61" s="53">
        <v>2</v>
      </c>
      <c r="B61" s="307">
        <v>30934</v>
      </c>
      <c r="C61" s="55" t="s">
        <v>426</v>
      </c>
      <c r="D61" s="53" t="s">
        <v>62</v>
      </c>
      <c r="E61" s="53">
        <v>7569374895</v>
      </c>
      <c r="F61" s="95">
        <v>45834</v>
      </c>
      <c r="G61" s="501"/>
      <c r="H61" s="69"/>
    </row>
    <row r="62" spans="1:8" ht="21.75" customHeight="1">
      <c r="A62" s="53">
        <v>3</v>
      </c>
      <c r="B62" s="307">
        <v>30940</v>
      </c>
      <c r="C62" s="55" t="s">
        <v>428</v>
      </c>
      <c r="D62" s="53" t="s">
        <v>62</v>
      </c>
      <c r="E62" s="53">
        <v>9573979580</v>
      </c>
      <c r="F62" s="95">
        <v>45834</v>
      </c>
      <c r="G62" s="501"/>
      <c r="H62" s="69"/>
    </row>
    <row r="63" spans="1:8" ht="21.75" customHeight="1">
      <c r="A63" s="53">
        <v>4</v>
      </c>
      <c r="B63" s="307">
        <v>30948</v>
      </c>
      <c r="C63" s="55" t="s">
        <v>431</v>
      </c>
      <c r="D63" s="53" t="s">
        <v>62</v>
      </c>
      <c r="E63" s="53">
        <v>8978224170</v>
      </c>
      <c r="F63" s="95">
        <v>45838</v>
      </c>
      <c r="G63" s="501"/>
      <c r="H63" s="69"/>
    </row>
    <row r="64" spans="1:8" ht="21.75" customHeight="1">
      <c r="A64" s="53">
        <v>5</v>
      </c>
      <c r="B64" s="307">
        <v>30951</v>
      </c>
      <c r="C64" s="55" t="s">
        <v>434</v>
      </c>
      <c r="D64" s="53" t="s">
        <v>62</v>
      </c>
      <c r="E64" s="53">
        <v>9398268887</v>
      </c>
      <c r="F64" s="95">
        <v>45838</v>
      </c>
      <c r="G64" s="501"/>
      <c r="H64" s="69"/>
    </row>
    <row r="65" spans="1:8" ht="21.75" customHeight="1">
      <c r="A65" s="53">
        <v>6</v>
      </c>
      <c r="B65" s="307">
        <v>30955</v>
      </c>
      <c r="C65" s="55" t="s">
        <v>437</v>
      </c>
      <c r="D65" s="53" t="s">
        <v>62</v>
      </c>
      <c r="E65" s="53">
        <v>6281270604</v>
      </c>
      <c r="F65" s="95">
        <v>45840</v>
      </c>
      <c r="G65" s="501"/>
      <c r="H65" s="69"/>
    </row>
    <row r="66" spans="1:8" ht="21.75" customHeight="1">
      <c r="A66" s="53">
        <v>7</v>
      </c>
      <c r="B66" s="307">
        <v>30960</v>
      </c>
      <c r="C66" s="55" t="s">
        <v>439</v>
      </c>
      <c r="D66" s="53" t="s">
        <v>62</v>
      </c>
      <c r="E66" s="53">
        <v>9381847839</v>
      </c>
      <c r="F66" s="95">
        <v>45842</v>
      </c>
      <c r="G66" s="501"/>
      <c r="H66" s="69"/>
    </row>
    <row r="67" spans="1:8" ht="21.75" customHeight="1">
      <c r="A67" s="53">
        <v>8</v>
      </c>
      <c r="B67" s="307">
        <v>30961</v>
      </c>
      <c r="C67" s="55" t="s">
        <v>440</v>
      </c>
      <c r="D67" s="53" t="s">
        <v>62</v>
      </c>
      <c r="E67" s="53">
        <v>6300368240</v>
      </c>
      <c r="F67" s="95">
        <v>45843</v>
      </c>
      <c r="G67" s="501"/>
      <c r="H67" s="69"/>
    </row>
    <row r="68" spans="1:8" ht="21.75" customHeight="1">
      <c r="A68" s="53">
        <v>9</v>
      </c>
      <c r="B68" s="307">
        <v>30964</v>
      </c>
      <c r="C68" s="55" t="s">
        <v>448</v>
      </c>
      <c r="D68" s="53" t="s">
        <v>62</v>
      </c>
      <c r="E68" s="53">
        <v>9515172678</v>
      </c>
      <c r="F68" s="95" t="s">
        <v>449</v>
      </c>
      <c r="G68" s="501"/>
      <c r="H68" s="69"/>
    </row>
    <row r="69" spans="1:8" ht="21.75" customHeight="1">
      <c r="A69" s="53">
        <v>10</v>
      </c>
      <c r="B69" s="307">
        <v>30969</v>
      </c>
      <c r="C69" s="54" t="s">
        <v>453</v>
      </c>
      <c r="D69" s="53" t="s">
        <v>62</v>
      </c>
      <c r="E69" s="53">
        <v>8247017365</v>
      </c>
      <c r="F69" s="95" t="s">
        <v>454</v>
      </c>
      <c r="G69" s="501"/>
      <c r="H69" s="69"/>
    </row>
    <row r="70" spans="1:8" ht="21.75" customHeight="1">
      <c r="A70" s="53">
        <v>11</v>
      </c>
      <c r="B70" s="307">
        <v>30970</v>
      </c>
      <c r="C70" s="54" t="s">
        <v>455</v>
      </c>
      <c r="D70" s="53" t="s">
        <v>62</v>
      </c>
      <c r="E70" s="53">
        <v>8125869185</v>
      </c>
      <c r="F70" s="95" t="s">
        <v>454</v>
      </c>
      <c r="G70" s="501"/>
      <c r="H70" s="69"/>
    </row>
    <row r="71" spans="1:8" ht="21.75" customHeight="1">
      <c r="A71" s="53">
        <v>12</v>
      </c>
      <c r="B71" s="307">
        <v>30971</v>
      </c>
      <c r="C71" s="54" t="s">
        <v>456</v>
      </c>
      <c r="D71" s="53" t="s">
        <v>62</v>
      </c>
      <c r="E71" s="71">
        <v>9000393290</v>
      </c>
      <c r="F71" s="445">
        <v>45847</v>
      </c>
      <c r="G71" s="502"/>
      <c r="H71" s="69"/>
    </row>
    <row r="72" spans="1:8" ht="21.75" customHeight="1">
      <c r="A72" s="53">
        <v>13</v>
      </c>
      <c r="B72" s="307">
        <v>30989</v>
      </c>
      <c r="C72" s="54" t="s">
        <v>464</v>
      </c>
      <c r="D72" s="53" t="s">
        <v>62</v>
      </c>
      <c r="E72" s="53">
        <v>7995627385</v>
      </c>
      <c r="F72" s="95" t="s">
        <v>463</v>
      </c>
      <c r="G72" s="501"/>
      <c r="H72" s="69"/>
    </row>
    <row r="73" spans="1:8" ht="21.75" customHeight="1">
      <c r="A73" s="53">
        <v>14</v>
      </c>
      <c r="B73" s="307">
        <v>30997</v>
      </c>
      <c r="C73" s="54" t="s">
        <v>468</v>
      </c>
      <c r="D73" s="53" t="s">
        <v>62</v>
      </c>
      <c r="E73" s="53">
        <v>7013229574</v>
      </c>
      <c r="F73" s="95" t="s">
        <v>469</v>
      </c>
      <c r="G73" s="501"/>
      <c r="H73" s="69"/>
    </row>
    <row r="74" spans="1:8" ht="21.75" customHeight="1">
      <c r="A74" s="53">
        <v>15</v>
      </c>
      <c r="B74" s="307">
        <v>31009</v>
      </c>
      <c r="C74" s="54" t="s">
        <v>511</v>
      </c>
      <c r="D74" s="53" t="s">
        <v>62</v>
      </c>
      <c r="E74" s="53">
        <v>9652560279</v>
      </c>
      <c r="F74" s="95">
        <v>45864</v>
      </c>
      <c r="G74" s="501"/>
      <c r="H74" s="69"/>
    </row>
    <row r="75" spans="1:8" ht="21.75" customHeight="1">
      <c r="A75" s="53">
        <v>16</v>
      </c>
      <c r="B75" s="307">
        <v>31016</v>
      </c>
      <c r="C75" s="54" t="s">
        <v>508</v>
      </c>
      <c r="D75" s="53" t="s">
        <v>62</v>
      </c>
      <c r="E75" s="53">
        <v>8125941185</v>
      </c>
      <c r="F75" s="95">
        <v>45867</v>
      </c>
      <c r="G75" s="501"/>
      <c r="H75" s="69"/>
    </row>
    <row r="76" spans="1:8" ht="21.75" customHeight="1">
      <c r="A76" s="53">
        <v>17</v>
      </c>
      <c r="B76" s="307">
        <v>31018</v>
      </c>
      <c r="C76" s="55" t="s">
        <v>517</v>
      </c>
      <c r="D76" s="53" t="s">
        <v>62</v>
      </c>
      <c r="E76" s="53">
        <v>8309517227</v>
      </c>
      <c r="F76" s="95">
        <v>45869</v>
      </c>
      <c r="G76" s="501"/>
      <c r="H76" s="69"/>
    </row>
    <row r="77" spans="1:8" ht="21.75" customHeight="1">
      <c r="A77" s="53">
        <v>18</v>
      </c>
      <c r="B77" s="163">
        <v>31070</v>
      </c>
      <c r="C77" s="418" t="s">
        <v>548</v>
      </c>
      <c r="D77" s="53" t="s">
        <v>62</v>
      </c>
      <c r="E77" s="53">
        <v>9030272655</v>
      </c>
      <c r="F77" s="446">
        <v>45891</v>
      </c>
      <c r="G77" s="501"/>
      <c r="H77" s="69"/>
    </row>
    <row r="78" spans="1:8" ht="21.75" customHeight="1">
      <c r="A78" s="53">
        <v>19</v>
      </c>
      <c r="B78" s="307">
        <v>31071</v>
      </c>
      <c r="C78" s="418" t="s">
        <v>549</v>
      </c>
      <c r="D78" s="53" t="s">
        <v>62</v>
      </c>
      <c r="E78" s="53">
        <v>8019998514</v>
      </c>
      <c r="F78" s="445">
        <v>45891</v>
      </c>
      <c r="G78" s="503"/>
      <c r="H78" s="69"/>
    </row>
    <row r="79" spans="1:8" ht="21.75" customHeight="1">
      <c r="A79" s="53">
        <v>20</v>
      </c>
      <c r="B79" s="163">
        <v>31082</v>
      </c>
      <c r="C79" s="418" t="s">
        <v>547</v>
      </c>
      <c r="D79" s="53" t="s">
        <v>62</v>
      </c>
      <c r="E79" s="53">
        <v>9848498113</v>
      </c>
      <c r="F79" s="446">
        <v>45894</v>
      </c>
      <c r="G79" s="501"/>
      <c r="H79" s="69"/>
    </row>
    <row r="80" spans="1:8" ht="21.75" customHeight="1">
      <c r="A80" s="53">
        <v>21</v>
      </c>
      <c r="B80" s="307">
        <v>31097</v>
      </c>
      <c r="C80" s="418" t="s">
        <v>552</v>
      </c>
      <c r="D80" s="53" t="s">
        <v>62</v>
      </c>
      <c r="E80" s="76">
        <v>6303002425</v>
      </c>
      <c r="F80" s="95">
        <v>45901</v>
      </c>
      <c r="G80" s="501"/>
      <c r="H80" s="69"/>
    </row>
    <row r="81" spans="1:8" ht="21.75" customHeight="1">
      <c r="A81" s="53">
        <v>22</v>
      </c>
      <c r="B81" s="53">
        <v>31183</v>
      </c>
      <c r="C81" s="73" t="s">
        <v>702</v>
      </c>
      <c r="D81" s="53" t="s">
        <v>62</v>
      </c>
      <c r="E81" s="56">
        <v>9701582164</v>
      </c>
      <c r="F81" s="446">
        <v>46022</v>
      </c>
      <c r="G81" s="472"/>
      <c r="H81" s="69"/>
    </row>
    <row r="82" spans="1:8" ht="21.75" customHeight="1">
      <c r="A82" s="53">
        <v>23</v>
      </c>
      <c r="B82" s="53">
        <v>31207</v>
      </c>
      <c r="C82" s="73" t="s">
        <v>707</v>
      </c>
      <c r="D82" s="53" t="s">
        <v>62</v>
      </c>
      <c r="E82" s="56">
        <v>9705642369</v>
      </c>
      <c r="F82" s="56"/>
      <c r="G82" s="472"/>
      <c r="H82" s="69"/>
    </row>
    <row r="83" spans="1:8" ht="21.75" customHeight="1">
      <c r="A83" s="53">
        <v>24</v>
      </c>
      <c r="B83" s="53"/>
      <c r="C83" s="73" t="s">
        <v>706</v>
      </c>
      <c r="D83" s="53" t="s">
        <v>62</v>
      </c>
      <c r="E83" s="56">
        <v>8978152877</v>
      </c>
      <c r="F83" s="56"/>
      <c r="G83" s="472"/>
      <c r="H83" s="69"/>
    </row>
    <row r="84" spans="1:8" ht="21.75" customHeight="1">
      <c r="A84" s="81"/>
      <c r="B84" s="81"/>
      <c r="C84" s="87"/>
      <c r="D84" s="81"/>
      <c r="E84" s="82"/>
      <c r="F84" s="82"/>
      <c r="G84" s="152"/>
    </row>
    <row r="85" spans="1:8" ht="15" customHeight="1">
      <c r="A85" s="518" t="s">
        <v>323</v>
      </c>
      <c r="B85" s="514"/>
      <c r="C85" s="514"/>
      <c r="D85" s="514"/>
      <c r="E85" s="514"/>
      <c r="F85" s="514"/>
      <c r="G85" s="152"/>
    </row>
    <row r="86" spans="1:8" ht="20.100000000000001" customHeight="1">
      <c r="A86" s="307">
        <v>1</v>
      </c>
      <c r="B86" s="461">
        <v>2646</v>
      </c>
      <c r="C86" s="447" t="s">
        <v>245</v>
      </c>
      <c r="D86" s="461" t="s">
        <v>267</v>
      </c>
      <c r="E86" s="307">
        <v>6300035358</v>
      </c>
      <c r="F86" s="462">
        <v>45253</v>
      </c>
      <c r="G86" s="474"/>
    </row>
    <row r="87" spans="1:8" ht="20.100000000000001" customHeight="1">
      <c r="A87" s="307">
        <v>2</v>
      </c>
      <c r="B87" s="461">
        <v>2686</v>
      </c>
      <c r="C87" s="447" t="s">
        <v>268</v>
      </c>
      <c r="D87" s="461" t="s">
        <v>267</v>
      </c>
      <c r="E87" s="307">
        <v>8247346900</v>
      </c>
      <c r="F87" s="462">
        <v>45282</v>
      </c>
      <c r="G87" s="474"/>
    </row>
    <row r="88" spans="1:8" ht="20.100000000000001" customHeight="1">
      <c r="A88" s="307">
        <v>3</v>
      </c>
      <c r="B88" s="461">
        <v>2852</v>
      </c>
      <c r="C88" s="447" t="s">
        <v>205</v>
      </c>
      <c r="D88" s="461" t="s">
        <v>147</v>
      </c>
      <c r="E88" s="307">
        <v>7981683088</v>
      </c>
      <c r="F88" s="462">
        <v>45513</v>
      </c>
      <c r="G88" s="474"/>
    </row>
    <row r="89" spans="1:8" ht="20.100000000000001" customHeight="1">
      <c r="A89" s="307">
        <v>4</v>
      </c>
      <c r="B89" s="461">
        <v>2932</v>
      </c>
      <c r="C89" s="447" t="s">
        <v>207</v>
      </c>
      <c r="D89" s="461" t="s">
        <v>147</v>
      </c>
      <c r="E89" s="307">
        <v>7672052900</v>
      </c>
      <c r="F89" s="462">
        <v>45597</v>
      </c>
      <c r="G89" s="474"/>
    </row>
    <row r="90" spans="1:8" ht="20.100000000000001" customHeight="1">
      <c r="A90" s="307">
        <v>5</v>
      </c>
      <c r="B90" s="461">
        <v>2935</v>
      </c>
      <c r="C90" s="447" t="s">
        <v>208</v>
      </c>
      <c r="D90" s="461" t="s">
        <v>147</v>
      </c>
      <c r="E90" s="307">
        <v>9948686959</v>
      </c>
      <c r="F90" s="462">
        <v>45600</v>
      </c>
      <c r="G90" s="474"/>
    </row>
    <row r="91" spans="1:8" ht="20.100000000000001" customHeight="1">
      <c r="A91" s="307">
        <v>6</v>
      </c>
      <c r="B91" s="461">
        <v>2940</v>
      </c>
      <c r="C91" s="447" t="s">
        <v>209</v>
      </c>
      <c r="D91" s="461" t="s">
        <v>147</v>
      </c>
      <c r="E91" s="307">
        <v>7799595004</v>
      </c>
      <c r="F91" s="462">
        <v>45610</v>
      </c>
      <c r="G91" s="474"/>
    </row>
    <row r="92" spans="1:8" ht="20.100000000000001" customHeight="1">
      <c r="A92" s="307">
        <v>7</v>
      </c>
      <c r="B92" s="461">
        <v>2952</v>
      </c>
      <c r="C92" s="448" t="s">
        <v>210</v>
      </c>
      <c r="D92" s="461" t="s">
        <v>147</v>
      </c>
      <c r="E92" s="307">
        <v>6302946907</v>
      </c>
      <c r="F92" s="403" t="s">
        <v>411</v>
      </c>
      <c r="G92" s="474"/>
    </row>
    <row r="93" spans="1:8" ht="20.100000000000001" customHeight="1">
      <c r="A93" s="307">
        <v>8</v>
      </c>
      <c r="B93" s="461">
        <v>3023</v>
      </c>
      <c r="C93" s="448" t="s">
        <v>211</v>
      </c>
      <c r="D93" s="461" t="s">
        <v>147</v>
      </c>
      <c r="E93" s="307">
        <v>9182194446</v>
      </c>
      <c r="F93" s="462">
        <v>45726</v>
      </c>
      <c r="G93" s="474"/>
    </row>
    <row r="94" spans="1:8" ht="20.100000000000001" customHeight="1">
      <c r="A94" s="307">
        <v>9</v>
      </c>
      <c r="B94" s="307">
        <v>3032</v>
      </c>
      <c r="C94" s="448" t="s">
        <v>470</v>
      </c>
      <c r="D94" s="461" t="s">
        <v>147</v>
      </c>
      <c r="E94" s="403">
        <v>8341287184</v>
      </c>
      <c r="F94" s="403" t="s">
        <v>412</v>
      </c>
      <c r="G94" s="474"/>
    </row>
    <row r="95" spans="1:8" ht="20.100000000000001" customHeight="1">
      <c r="A95" s="307">
        <v>10</v>
      </c>
      <c r="B95" s="307">
        <v>3033</v>
      </c>
      <c r="C95" s="448" t="s">
        <v>471</v>
      </c>
      <c r="D95" s="461" t="s">
        <v>147</v>
      </c>
      <c r="E95" s="403">
        <v>9569464941</v>
      </c>
      <c r="F95" s="403" t="s">
        <v>413</v>
      </c>
      <c r="G95" s="474"/>
    </row>
    <row r="96" spans="1:8" ht="20.100000000000001" customHeight="1">
      <c r="A96" s="307">
        <v>11</v>
      </c>
      <c r="B96" s="307">
        <v>3128</v>
      </c>
      <c r="C96" s="448" t="s">
        <v>472</v>
      </c>
      <c r="D96" s="461" t="s">
        <v>147</v>
      </c>
      <c r="E96" s="403">
        <v>9492426713</v>
      </c>
      <c r="F96" s="403" t="s">
        <v>473</v>
      </c>
      <c r="G96" s="474"/>
    </row>
    <row r="97" spans="1:7" ht="20.100000000000001" customHeight="1">
      <c r="A97" s="307">
        <v>12</v>
      </c>
      <c r="B97" s="307">
        <v>3133</v>
      </c>
      <c r="C97" s="402" t="s">
        <v>474</v>
      </c>
      <c r="D97" s="461" t="s">
        <v>147</v>
      </c>
      <c r="E97" s="403">
        <v>7013885810</v>
      </c>
      <c r="F97" s="462">
        <v>45853</v>
      </c>
      <c r="G97" s="474"/>
    </row>
    <row r="98" spans="1:7" ht="20.100000000000001" customHeight="1">
      <c r="A98" s="307">
        <v>13</v>
      </c>
      <c r="B98" s="307">
        <v>3202</v>
      </c>
      <c r="C98" s="448" t="s">
        <v>555</v>
      </c>
      <c r="D98" s="461" t="s">
        <v>147</v>
      </c>
      <c r="E98" s="403" t="s">
        <v>554</v>
      </c>
      <c r="F98" s="507">
        <v>45918</v>
      </c>
      <c r="G98" s="508"/>
    </row>
    <row r="99" spans="1:7" ht="20.100000000000001" customHeight="1">
      <c r="A99" s="454"/>
      <c r="B99" s="454"/>
      <c r="C99" s="510"/>
      <c r="D99" s="511"/>
      <c r="E99" s="463"/>
      <c r="F99" s="431"/>
      <c r="G99" s="451"/>
    </row>
    <row r="100" spans="1:7" ht="20.100000000000001" customHeight="1">
      <c r="A100" s="454"/>
      <c r="B100" s="454"/>
      <c r="C100" s="510"/>
      <c r="D100" s="511"/>
      <c r="E100" s="463"/>
      <c r="F100" s="431"/>
      <c r="G100" s="451"/>
    </row>
    <row r="101" spans="1:7" ht="20.100000000000001" customHeight="1">
      <c r="A101" s="53">
        <v>1</v>
      </c>
      <c r="B101" s="53">
        <v>629</v>
      </c>
      <c r="C101" s="54" t="s">
        <v>248</v>
      </c>
      <c r="D101" s="53" t="s">
        <v>270</v>
      </c>
      <c r="E101" s="53">
        <v>9502200265</v>
      </c>
      <c r="F101" s="509">
        <v>40299</v>
      </c>
      <c r="G101" s="152"/>
    </row>
    <row r="102" spans="1:7" ht="20.100000000000001" customHeight="1">
      <c r="A102" s="53">
        <v>2</v>
      </c>
      <c r="B102" s="53">
        <v>3178</v>
      </c>
      <c r="C102" s="54" t="s">
        <v>529</v>
      </c>
      <c r="D102" s="53" t="s">
        <v>270</v>
      </c>
      <c r="E102" s="53" t="s">
        <v>531</v>
      </c>
      <c r="F102" s="429">
        <v>45887</v>
      </c>
      <c r="G102" s="152"/>
    </row>
    <row r="103" spans="1:7" ht="20.100000000000001" customHeight="1">
      <c r="A103" s="53">
        <v>3</v>
      </c>
      <c r="B103" s="53">
        <v>2613</v>
      </c>
      <c r="C103" s="54" t="s">
        <v>272</v>
      </c>
      <c r="D103" s="56" t="s">
        <v>251</v>
      </c>
      <c r="E103" s="53">
        <v>9573912337</v>
      </c>
      <c r="F103" s="429">
        <v>45198</v>
      </c>
      <c r="G103" s="152"/>
    </row>
    <row r="104" spans="1:7" ht="20.100000000000001" customHeight="1">
      <c r="A104" s="53">
        <v>4</v>
      </c>
      <c r="B104" s="53">
        <v>2700</v>
      </c>
      <c r="C104" s="54" t="s">
        <v>273</v>
      </c>
      <c r="D104" s="53" t="s">
        <v>251</v>
      </c>
      <c r="E104" s="53">
        <v>7416390127</v>
      </c>
      <c r="F104" s="429">
        <v>45293</v>
      </c>
      <c r="G104" s="152"/>
    </row>
    <row r="105" spans="1:7" ht="20.100000000000001" customHeight="1">
      <c r="A105" s="53">
        <v>5</v>
      </c>
      <c r="B105" s="53">
        <v>2996</v>
      </c>
      <c r="C105" s="54" t="s">
        <v>346</v>
      </c>
      <c r="D105" s="53" t="s">
        <v>251</v>
      </c>
      <c r="E105" s="53">
        <v>8142888477</v>
      </c>
      <c r="F105" s="429">
        <v>45700</v>
      </c>
      <c r="G105" s="152"/>
    </row>
    <row r="106" spans="1:7" ht="9" customHeight="1">
      <c r="A106" s="87"/>
      <c r="B106" s="82"/>
      <c r="C106" s="87"/>
      <c r="D106" s="87"/>
      <c r="E106" s="87"/>
      <c r="F106" s="82"/>
      <c r="G106" s="152"/>
    </row>
    <row r="107" spans="1:7" ht="15" customHeight="1">
      <c r="A107" s="87"/>
      <c r="B107" s="82"/>
      <c r="C107" s="87"/>
      <c r="D107" s="464" t="s">
        <v>571</v>
      </c>
      <c r="E107" s="464">
        <v>47</v>
      </c>
      <c r="F107" s="82"/>
      <c r="G107" s="152"/>
    </row>
    <row r="108" spans="1:7" ht="15" customHeight="1">
      <c r="A108" s="87"/>
      <c r="B108" s="82"/>
      <c r="C108" s="87"/>
      <c r="D108" s="464" t="s">
        <v>234</v>
      </c>
      <c r="E108" s="464">
        <v>24</v>
      </c>
      <c r="F108" s="82"/>
      <c r="G108" s="152"/>
    </row>
    <row r="109" spans="1:7" ht="15" customHeight="1">
      <c r="A109" s="87"/>
      <c r="B109" s="82"/>
      <c r="C109" s="87"/>
      <c r="D109" s="464" t="s">
        <v>572</v>
      </c>
      <c r="E109" s="464">
        <v>13</v>
      </c>
      <c r="F109" s="82"/>
      <c r="G109" s="152"/>
    </row>
    <row r="110" spans="1:7" ht="15" customHeight="1">
      <c r="A110" s="87"/>
      <c r="B110" s="82"/>
      <c r="C110" s="87"/>
      <c r="D110" s="464" t="s">
        <v>573</v>
      </c>
      <c r="E110" s="464">
        <v>5</v>
      </c>
      <c r="F110" s="82"/>
      <c r="G110" s="152"/>
    </row>
    <row r="111" spans="1:7" ht="15" customHeight="1">
      <c r="A111" s="87"/>
      <c r="B111" s="82"/>
      <c r="C111" s="87"/>
      <c r="D111" s="464" t="s">
        <v>574</v>
      </c>
      <c r="E111" s="464">
        <f>SUM(E107:E110)</f>
        <v>89</v>
      </c>
      <c r="F111" s="82"/>
      <c r="G111" s="152"/>
    </row>
  </sheetData>
  <mergeCells count="9">
    <mergeCell ref="A2:H2"/>
    <mergeCell ref="A1:H1"/>
    <mergeCell ref="A57:H57"/>
    <mergeCell ref="A58:F58"/>
    <mergeCell ref="A85:F85"/>
    <mergeCell ref="A55:G55"/>
    <mergeCell ref="A56:G56"/>
    <mergeCell ref="A4:H4"/>
    <mergeCell ref="A3:H3"/>
  </mergeCells>
  <conditionalFormatting sqref="B21:B22">
    <cfRule type="duplicateValues" dxfId="1" priority="1"/>
  </conditionalFormatting>
  <conditionalFormatting sqref="B30:B31">
    <cfRule type="duplicateValues" dxfId="0" priority="2"/>
  </conditionalFormatting>
  <pageMargins left="0.39370078740157483" right="0.39370078740157483" top="0.39370078740157483" bottom="0.39370078740157483" header="0.31496062992125984" footer="0.31496062992125984"/>
  <pageSetup paperSize="9" scale="80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5:F9"/>
  <sheetViews>
    <sheetView topLeftCell="B1" workbookViewId="0">
      <selection activeCell="F10" sqref="F10"/>
    </sheetView>
  </sheetViews>
  <sheetFormatPr defaultRowHeight="20.100000000000001" customHeight="1"/>
  <cols>
    <col min="2" max="2" width="8.33203125" bestFit="1" customWidth="1"/>
    <col min="3" max="3" width="22.6640625" bestFit="1" customWidth="1"/>
    <col min="4" max="4" width="21.109375" bestFit="1" customWidth="1"/>
    <col min="5" max="5" width="14.33203125" bestFit="1" customWidth="1"/>
    <col min="6" max="6" width="25.109375" customWidth="1"/>
  </cols>
  <sheetData>
    <row r="5" spans="2:6" ht="20.100000000000001" customHeight="1">
      <c r="B5" s="3" t="s">
        <v>216</v>
      </c>
      <c r="C5" s="3" t="s">
        <v>3</v>
      </c>
      <c r="D5" s="3" t="s">
        <v>4</v>
      </c>
      <c r="E5" s="3" t="s">
        <v>8</v>
      </c>
      <c r="F5" s="3" t="s">
        <v>709</v>
      </c>
    </row>
    <row r="6" spans="2:6" ht="20.100000000000001" customHeight="1">
      <c r="B6" s="53">
        <v>312</v>
      </c>
      <c r="C6" s="67" t="s">
        <v>42</v>
      </c>
      <c r="D6" s="481" t="s">
        <v>180</v>
      </c>
      <c r="E6" s="68">
        <v>8297208489</v>
      </c>
      <c r="F6" s="513" t="s">
        <v>710</v>
      </c>
    </row>
    <row r="7" spans="2:6" ht="20.100000000000001" customHeight="1">
      <c r="B7" s="53">
        <v>2090</v>
      </c>
      <c r="C7" s="54" t="s">
        <v>33</v>
      </c>
      <c r="D7" s="71" t="s">
        <v>180</v>
      </c>
      <c r="E7" s="68">
        <v>9441540580</v>
      </c>
      <c r="F7" s="69" t="s">
        <v>712</v>
      </c>
    </row>
    <row r="8" spans="2:6" ht="20.100000000000001" customHeight="1">
      <c r="B8" s="71">
        <v>2689</v>
      </c>
      <c r="C8" s="447" t="s">
        <v>154</v>
      </c>
      <c r="D8" s="68" t="s">
        <v>157</v>
      </c>
      <c r="E8" s="56">
        <v>7006157037</v>
      </c>
      <c r="F8" s="69" t="s">
        <v>711</v>
      </c>
    </row>
    <row r="9" spans="2:6" ht="20.100000000000001" customHeight="1">
      <c r="B9" s="53">
        <v>3205</v>
      </c>
      <c r="C9" s="448" t="s">
        <v>556</v>
      </c>
      <c r="D9" s="53" t="s">
        <v>68</v>
      </c>
      <c r="E9" s="56">
        <v>9494841792</v>
      </c>
      <c r="F9" s="513" t="s">
        <v>713</v>
      </c>
    </row>
  </sheetData>
  <hyperlinks>
    <hyperlink ref="F6" r:id="rId1" xr:uid="{00000000-0004-0000-1900-000000000000}"/>
    <hyperlink ref="F9" r:id="rId2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61"/>
  <sheetViews>
    <sheetView workbookViewId="0">
      <selection activeCell="G11" sqref="G11"/>
    </sheetView>
  </sheetViews>
  <sheetFormatPr defaultRowHeight="14.4"/>
  <cols>
    <col min="1" max="1" width="5.109375" style="1" bestFit="1" customWidth="1"/>
    <col min="2" max="2" width="9.88671875" style="1" bestFit="1" customWidth="1"/>
    <col min="3" max="3" width="29.6640625" style="486" customWidth="1"/>
    <col min="4" max="4" width="11.6640625" style="1" hidden="1" customWidth="1"/>
    <col min="5" max="5" width="12" style="1" bestFit="1" customWidth="1"/>
    <col min="6" max="6" width="14" style="1" customWidth="1"/>
    <col min="7" max="7" width="12.33203125" style="1" customWidth="1"/>
    <col min="8" max="8" width="17.44140625" style="1" customWidth="1"/>
    <col min="9" max="9" width="12.44140625" style="1" customWidth="1"/>
  </cols>
  <sheetData>
    <row r="1" spans="1:8" ht="20.100000000000001" customHeight="1">
      <c r="A1" s="586" t="s">
        <v>637</v>
      </c>
      <c r="B1" s="586"/>
      <c r="C1" s="586"/>
      <c r="D1" s="586"/>
      <c r="E1" s="586"/>
      <c r="F1" s="586"/>
      <c r="G1" s="586"/>
      <c r="H1" s="586"/>
    </row>
    <row r="2" spans="1:8" ht="20.100000000000001" customHeight="1">
      <c r="A2" s="586" t="s">
        <v>274</v>
      </c>
      <c r="B2" s="586"/>
      <c r="C2" s="586"/>
      <c r="D2" s="586"/>
      <c r="E2" s="586"/>
      <c r="F2" s="586"/>
      <c r="G2" s="586"/>
      <c r="H2" s="586"/>
    </row>
    <row r="3" spans="1:8" ht="20.100000000000001" customHeight="1">
      <c r="A3" s="586" t="s">
        <v>638</v>
      </c>
      <c r="B3" s="586"/>
      <c r="C3" s="586"/>
      <c r="D3" s="586"/>
      <c r="E3" s="586"/>
      <c r="F3" s="586"/>
      <c r="G3" s="586"/>
      <c r="H3" s="586"/>
    </row>
    <row r="4" spans="1:8" ht="20.100000000000001" customHeight="1"/>
    <row r="5" spans="1:8" ht="20.100000000000001" customHeight="1">
      <c r="A5" s="487" t="s">
        <v>239</v>
      </c>
      <c r="B5" s="487" t="s">
        <v>639</v>
      </c>
      <c r="C5" s="488" t="s">
        <v>640</v>
      </c>
      <c r="D5" s="487" t="s">
        <v>493</v>
      </c>
      <c r="E5" s="487" t="s">
        <v>571</v>
      </c>
      <c r="F5" s="487" t="s">
        <v>641</v>
      </c>
      <c r="G5" s="487" t="s">
        <v>642</v>
      </c>
      <c r="H5" s="487" t="s">
        <v>276</v>
      </c>
    </row>
    <row r="6" spans="1:8" ht="20.100000000000001" customHeight="1">
      <c r="A6" s="489">
        <v>1</v>
      </c>
      <c r="B6" s="94">
        <v>1251</v>
      </c>
      <c r="C6" s="203" t="s">
        <v>647</v>
      </c>
      <c r="D6" s="94" t="s">
        <v>236</v>
      </c>
      <c r="E6" s="94" t="s">
        <v>643</v>
      </c>
      <c r="F6" s="99">
        <v>46020</v>
      </c>
      <c r="G6" s="490">
        <v>0.33321759259259259</v>
      </c>
      <c r="H6" s="490"/>
    </row>
    <row r="7" spans="1:8" ht="20.100000000000001" customHeight="1">
      <c r="A7" s="489">
        <v>2</v>
      </c>
      <c r="B7" s="94">
        <v>308</v>
      </c>
      <c r="C7" s="203" t="s">
        <v>669</v>
      </c>
      <c r="D7" s="94" t="s">
        <v>236</v>
      </c>
      <c r="E7" s="94" t="s">
        <v>643</v>
      </c>
      <c r="F7" s="99">
        <v>46020</v>
      </c>
      <c r="G7" s="490">
        <v>0.32938657407407407</v>
      </c>
      <c r="H7" s="487"/>
    </row>
    <row r="8" spans="1:8" ht="20.100000000000001" customHeight="1">
      <c r="A8" s="489">
        <v>3</v>
      </c>
      <c r="B8" s="94">
        <v>1182</v>
      </c>
      <c r="C8" s="203" t="s">
        <v>645</v>
      </c>
      <c r="D8" s="94" t="s">
        <v>236</v>
      </c>
      <c r="E8" s="94" t="s">
        <v>643</v>
      </c>
      <c r="F8" s="99">
        <v>46020</v>
      </c>
      <c r="G8" s="490">
        <v>0.33332175925925928</v>
      </c>
      <c r="H8" s="490"/>
    </row>
    <row r="9" spans="1:8" ht="20.100000000000001" customHeight="1">
      <c r="A9" s="489">
        <v>4</v>
      </c>
      <c r="B9" s="94">
        <v>2765</v>
      </c>
      <c r="C9" s="203" t="s">
        <v>168</v>
      </c>
      <c r="D9" s="94" t="s">
        <v>236</v>
      </c>
      <c r="E9" s="94" t="s">
        <v>643</v>
      </c>
      <c r="F9" s="99">
        <v>46020</v>
      </c>
      <c r="G9" s="490">
        <v>0.33332175925925928</v>
      </c>
      <c r="H9" s="490"/>
    </row>
    <row r="10" spans="1:8" ht="20.100000000000001" customHeight="1">
      <c r="A10" s="489">
        <v>5</v>
      </c>
      <c r="B10" s="94">
        <v>1181</v>
      </c>
      <c r="C10" s="203" t="s">
        <v>644</v>
      </c>
      <c r="D10" s="94" t="s">
        <v>236</v>
      </c>
      <c r="E10" s="94" t="s">
        <v>643</v>
      </c>
      <c r="F10" s="99">
        <v>46020</v>
      </c>
      <c r="G10" s="490">
        <v>0.33218750000000002</v>
      </c>
      <c r="H10" s="490"/>
    </row>
    <row r="11" spans="1:8" ht="20.100000000000001" customHeight="1">
      <c r="A11" s="489">
        <v>6</v>
      </c>
      <c r="B11" s="94">
        <v>1243</v>
      </c>
      <c r="C11" s="203" t="s">
        <v>646</v>
      </c>
      <c r="D11" s="94" t="s">
        <v>236</v>
      </c>
      <c r="E11" s="94" t="s">
        <v>643</v>
      </c>
      <c r="F11" s="99">
        <v>46020</v>
      </c>
      <c r="G11" s="490">
        <v>0.3291203703703704</v>
      </c>
      <c r="H11" s="490"/>
    </row>
    <row r="12" spans="1:8" ht="20.100000000000001" customHeight="1">
      <c r="A12" s="489">
        <v>7</v>
      </c>
      <c r="B12" s="94">
        <v>2090</v>
      </c>
      <c r="C12" s="203" t="s">
        <v>648</v>
      </c>
      <c r="D12" s="94" t="s">
        <v>236</v>
      </c>
      <c r="E12" s="94" t="s">
        <v>643</v>
      </c>
      <c r="F12" s="99">
        <v>46020</v>
      </c>
      <c r="G12" s="490">
        <v>0.33063657407407404</v>
      </c>
      <c r="H12" s="490"/>
    </row>
    <row r="13" spans="1:8" ht="20.100000000000001" customHeight="1">
      <c r="A13" s="489">
        <v>8</v>
      </c>
      <c r="B13" s="94">
        <v>2285</v>
      </c>
      <c r="C13" s="203" t="s">
        <v>649</v>
      </c>
      <c r="D13" s="94" t="s">
        <v>236</v>
      </c>
      <c r="E13" s="94" t="s">
        <v>643</v>
      </c>
      <c r="F13" s="99">
        <v>46020</v>
      </c>
      <c r="G13" s="490">
        <v>0.32922453703703702</v>
      </c>
      <c r="H13" s="490"/>
    </row>
    <row r="14" spans="1:8" ht="20.100000000000001" customHeight="1">
      <c r="A14" s="489">
        <v>9</v>
      </c>
      <c r="B14" s="94">
        <v>2442</v>
      </c>
      <c r="C14" s="203" t="s">
        <v>650</v>
      </c>
      <c r="D14" s="94" t="s">
        <v>236</v>
      </c>
      <c r="E14" s="94" t="s">
        <v>643</v>
      </c>
      <c r="F14" s="99">
        <v>46020</v>
      </c>
      <c r="G14" s="490">
        <v>0.33531249999999996</v>
      </c>
      <c r="H14" s="490"/>
    </row>
    <row r="15" spans="1:8" ht="20.100000000000001" customHeight="1">
      <c r="A15" s="489">
        <v>10</v>
      </c>
      <c r="B15" s="94">
        <v>2454</v>
      </c>
      <c r="C15" s="203" t="s">
        <v>651</v>
      </c>
      <c r="D15" s="94" t="s">
        <v>236</v>
      </c>
      <c r="E15" s="94" t="s">
        <v>643</v>
      </c>
      <c r="F15" s="99">
        <v>46020</v>
      </c>
      <c r="G15" s="490">
        <v>0.32568287037037036</v>
      </c>
      <c r="H15" s="490"/>
    </row>
    <row r="16" spans="1:8" ht="20.100000000000001" customHeight="1">
      <c r="A16" s="489">
        <v>11</v>
      </c>
      <c r="B16" s="94">
        <v>2490</v>
      </c>
      <c r="C16" s="203" t="s">
        <v>652</v>
      </c>
      <c r="D16" s="94" t="s">
        <v>236</v>
      </c>
      <c r="E16" s="94" t="s">
        <v>643</v>
      </c>
      <c r="F16" s="99">
        <v>46020</v>
      </c>
      <c r="G16" s="490">
        <v>0.32775462962962965</v>
      </c>
      <c r="H16" s="490"/>
    </row>
    <row r="17" spans="1:8" ht="20.100000000000001" customHeight="1">
      <c r="A17" s="489">
        <v>12</v>
      </c>
      <c r="B17" s="94">
        <v>2499</v>
      </c>
      <c r="C17" s="203" t="s">
        <v>355</v>
      </c>
      <c r="D17" s="94" t="s">
        <v>236</v>
      </c>
      <c r="E17" s="94" t="s">
        <v>643</v>
      </c>
      <c r="F17" s="99">
        <v>46020</v>
      </c>
      <c r="G17" s="490">
        <v>0.33208333333333334</v>
      </c>
      <c r="H17" s="490"/>
    </row>
    <row r="18" spans="1:8" ht="20.100000000000001" customHeight="1">
      <c r="A18" s="489">
        <v>13</v>
      </c>
      <c r="B18" s="94">
        <v>2501</v>
      </c>
      <c r="C18" s="203" t="s">
        <v>653</v>
      </c>
      <c r="D18" s="94" t="s">
        <v>236</v>
      </c>
      <c r="E18" s="94" t="s">
        <v>643</v>
      </c>
      <c r="F18" s="99">
        <v>46020</v>
      </c>
      <c r="G18" s="490">
        <v>0.32771990740740742</v>
      </c>
      <c r="H18" s="490"/>
    </row>
    <row r="19" spans="1:8" ht="20.100000000000001" customHeight="1">
      <c r="A19" s="489">
        <v>14</v>
      </c>
      <c r="B19" s="94">
        <v>2502</v>
      </c>
      <c r="C19" s="203" t="s">
        <v>359</v>
      </c>
      <c r="D19" s="94" t="s">
        <v>236</v>
      </c>
      <c r="E19" s="94" t="s">
        <v>643</v>
      </c>
      <c r="F19" s="99">
        <v>46020</v>
      </c>
      <c r="G19" s="490">
        <v>0.29395833333333332</v>
      </c>
      <c r="H19" s="490"/>
    </row>
    <row r="20" spans="1:8" ht="20.100000000000001" customHeight="1">
      <c r="A20" s="489">
        <v>15</v>
      </c>
      <c r="B20" s="94">
        <v>2519</v>
      </c>
      <c r="C20" s="203" t="s">
        <v>654</v>
      </c>
      <c r="D20" s="94" t="s">
        <v>236</v>
      </c>
      <c r="E20" s="94" t="s">
        <v>643</v>
      </c>
      <c r="F20" s="99">
        <v>46020</v>
      </c>
      <c r="G20" s="490">
        <v>0.32271990740740741</v>
      </c>
      <c r="H20" s="490"/>
    </row>
    <row r="21" spans="1:8" ht="20.100000000000001" customHeight="1">
      <c r="A21" s="489">
        <v>16</v>
      </c>
      <c r="B21" s="94">
        <v>2689</v>
      </c>
      <c r="C21" s="203" t="s">
        <v>154</v>
      </c>
      <c r="D21" s="94" t="s">
        <v>236</v>
      </c>
      <c r="E21" s="94" t="s">
        <v>643</v>
      </c>
      <c r="F21" s="99">
        <v>46020</v>
      </c>
      <c r="G21" s="490">
        <v>0.30194444444444446</v>
      </c>
      <c r="H21" s="490"/>
    </row>
    <row r="22" spans="1:8" ht="20.100000000000001" customHeight="1">
      <c r="A22" s="489">
        <v>17</v>
      </c>
      <c r="B22" s="94">
        <v>2728</v>
      </c>
      <c r="C22" s="203" t="s">
        <v>658</v>
      </c>
      <c r="D22" s="94" t="s">
        <v>236</v>
      </c>
      <c r="E22" s="94" t="s">
        <v>643</v>
      </c>
      <c r="F22" s="99">
        <v>46020</v>
      </c>
      <c r="G22" s="490">
        <v>0.32116898148148149</v>
      </c>
      <c r="H22" s="490"/>
    </row>
    <row r="23" spans="1:8" ht="20.100000000000001" customHeight="1">
      <c r="A23" s="489">
        <v>18</v>
      </c>
      <c r="B23" s="94">
        <v>2898</v>
      </c>
      <c r="C23" s="203" t="s">
        <v>190</v>
      </c>
      <c r="D23" s="94" t="s">
        <v>236</v>
      </c>
      <c r="E23" s="94" t="s">
        <v>643</v>
      </c>
      <c r="F23" s="99">
        <v>46020</v>
      </c>
      <c r="G23" s="490">
        <v>0.33512731481481484</v>
      </c>
      <c r="H23" s="490"/>
    </row>
    <row r="24" spans="1:8" ht="20.100000000000001" customHeight="1">
      <c r="A24" s="489">
        <v>19</v>
      </c>
      <c r="B24" s="94">
        <v>2921</v>
      </c>
      <c r="C24" s="203" t="s">
        <v>364</v>
      </c>
      <c r="D24" s="94" t="s">
        <v>236</v>
      </c>
      <c r="E24" s="94" t="s">
        <v>643</v>
      </c>
      <c r="F24" s="99">
        <v>46020</v>
      </c>
      <c r="G24" s="490">
        <v>0.33256944444444442</v>
      </c>
      <c r="H24" s="490"/>
    </row>
    <row r="25" spans="1:8" ht="20.100000000000001" customHeight="1">
      <c r="A25" s="489">
        <v>20</v>
      </c>
      <c r="B25" s="94">
        <v>2925</v>
      </c>
      <c r="C25" s="203" t="s">
        <v>200</v>
      </c>
      <c r="D25" s="94" t="s">
        <v>236</v>
      </c>
      <c r="E25" s="94" t="s">
        <v>643</v>
      </c>
      <c r="F25" s="99">
        <v>46020</v>
      </c>
      <c r="G25" s="490">
        <v>0.3366898148148148</v>
      </c>
      <c r="H25" s="490"/>
    </row>
    <row r="26" spans="1:8" ht="20.100000000000001" customHeight="1">
      <c r="A26" s="489">
        <v>21</v>
      </c>
      <c r="B26" s="94">
        <v>2934</v>
      </c>
      <c r="C26" s="203" t="s">
        <v>319</v>
      </c>
      <c r="D26" s="94" t="s">
        <v>236</v>
      </c>
      <c r="E26" s="94" t="s">
        <v>643</v>
      </c>
      <c r="F26" s="99">
        <v>46020</v>
      </c>
      <c r="G26" s="490">
        <v>0.31984953703703706</v>
      </c>
      <c r="H26" s="490"/>
    </row>
    <row r="27" spans="1:8" ht="20.100000000000001" customHeight="1">
      <c r="A27" s="489">
        <v>22</v>
      </c>
      <c r="B27" s="94">
        <v>2936</v>
      </c>
      <c r="C27" s="203" t="s">
        <v>662</v>
      </c>
      <c r="D27" s="94" t="s">
        <v>236</v>
      </c>
      <c r="E27" s="94" t="s">
        <v>643</v>
      </c>
      <c r="F27" s="99">
        <v>46020</v>
      </c>
      <c r="G27" s="490">
        <v>0.33476851851851852</v>
      </c>
      <c r="H27" s="490"/>
    </row>
    <row r="28" spans="1:8" ht="20.100000000000001" customHeight="1">
      <c r="A28" s="489">
        <v>23</v>
      </c>
      <c r="B28" s="94">
        <v>2947</v>
      </c>
      <c r="C28" s="203" t="s">
        <v>204</v>
      </c>
      <c r="D28" s="94" t="s">
        <v>236</v>
      </c>
      <c r="E28" s="94" t="s">
        <v>643</v>
      </c>
      <c r="F28" s="99">
        <v>46020</v>
      </c>
      <c r="G28" s="490">
        <v>0.33364583333333336</v>
      </c>
      <c r="H28" s="490"/>
    </row>
    <row r="29" spans="1:8" ht="20.100000000000001" customHeight="1">
      <c r="A29" s="489">
        <v>24</v>
      </c>
      <c r="B29" s="94">
        <v>2965</v>
      </c>
      <c r="C29" s="203" t="s">
        <v>365</v>
      </c>
      <c r="D29" s="94" t="s">
        <v>236</v>
      </c>
      <c r="E29" s="94" t="s">
        <v>643</v>
      </c>
      <c r="F29" s="99">
        <v>46020</v>
      </c>
      <c r="G29" s="490">
        <v>0.33883101851851855</v>
      </c>
      <c r="H29" s="490"/>
    </row>
    <row r="30" spans="1:8" ht="20.100000000000001" customHeight="1">
      <c r="A30" s="489">
        <v>25</v>
      </c>
      <c r="B30" s="94">
        <v>30410</v>
      </c>
      <c r="C30" s="203" t="s">
        <v>408</v>
      </c>
      <c r="D30" s="94" t="s">
        <v>236</v>
      </c>
      <c r="E30" s="94" t="s">
        <v>643</v>
      </c>
      <c r="F30" s="99">
        <v>46020</v>
      </c>
      <c r="G30" s="490">
        <v>0.32589120370370367</v>
      </c>
      <c r="H30" s="490"/>
    </row>
    <row r="31" spans="1:8" ht="20.100000000000001" customHeight="1">
      <c r="A31" s="489">
        <v>26</v>
      </c>
      <c r="B31" s="94">
        <v>3052</v>
      </c>
      <c r="C31" s="203" t="s">
        <v>667</v>
      </c>
      <c r="D31" s="94" t="s">
        <v>236</v>
      </c>
      <c r="E31" s="94" t="s">
        <v>643</v>
      </c>
      <c r="F31" s="99">
        <v>46020</v>
      </c>
      <c r="G31" s="490">
        <v>0.3339699074074074</v>
      </c>
      <c r="H31" s="490"/>
    </row>
    <row r="32" spans="1:8" ht="20.100000000000001" customHeight="1">
      <c r="A32" s="489">
        <v>27</v>
      </c>
      <c r="B32" s="94">
        <v>3073</v>
      </c>
      <c r="C32" s="203" t="s">
        <v>668</v>
      </c>
      <c r="D32" s="94" t="s">
        <v>236</v>
      </c>
      <c r="E32" s="94" t="s">
        <v>643</v>
      </c>
      <c r="F32" s="99">
        <v>46020</v>
      </c>
      <c r="G32" s="490">
        <v>0.33107638888888885</v>
      </c>
      <c r="H32" s="490"/>
    </row>
    <row r="33" spans="1:8" ht="20.100000000000001" customHeight="1">
      <c r="A33" s="489">
        <v>28</v>
      </c>
      <c r="B33" s="94">
        <v>30744</v>
      </c>
      <c r="C33" s="203" t="s">
        <v>308</v>
      </c>
      <c r="D33" s="94" t="s">
        <v>236</v>
      </c>
      <c r="E33" s="94" t="s">
        <v>643</v>
      </c>
      <c r="F33" s="99">
        <v>46020</v>
      </c>
      <c r="G33" s="490">
        <v>0.31900462962962961</v>
      </c>
      <c r="H33" s="490"/>
    </row>
    <row r="34" spans="1:8" ht="20.100000000000001" customHeight="1">
      <c r="A34" s="489">
        <v>29</v>
      </c>
      <c r="B34" s="94">
        <v>3080</v>
      </c>
      <c r="C34" s="203" t="s">
        <v>670</v>
      </c>
      <c r="D34" s="94" t="s">
        <v>236</v>
      </c>
      <c r="E34" s="94" t="s">
        <v>643</v>
      </c>
      <c r="F34" s="99">
        <v>46020</v>
      </c>
      <c r="G34" s="490">
        <v>0.33274305555555556</v>
      </c>
      <c r="H34" s="490"/>
    </row>
    <row r="35" spans="1:8" ht="20.100000000000001" customHeight="1">
      <c r="A35" s="489">
        <v>30</v>
      </c>
      <c r="B35" s="94">
        <v>3081</v>
      </c>
      <c r="C35" s="203" t="s">
        <v>671</v>
      </c>
      <c r="D35" s="94" t="s">
        <v>236</v>
      </c>
      <c r="E35" s="94" t="s">
        <v>643</v>
      </c>
      <c r="F35" s="99">
        <v>46020</v>
      </c>
      <c r="G35" s="490">
        <v>0.30192129629629633</v>
      </c>
      <c r="H35" s="490"/>
    </row>
    <row r="36" spans="1:8" ht="20.100000000000001" customHeight="1">
      <c r="A36" s="489">
        <v>31</v>
      </c>
      <c r="B36" s="94">
        <v>3084</v>
      </c>
      <c r="C36" s="203" t="s">
        <v>389</v>
      </c>
      <c r="D36" s="94" t="s">
        <v>236</v>
      </c>
      <c r="E36" s="94" t="s">
        <v>643</v>
      </c>
      <c r="F36" s="99">
        <v>46020</v>
      </c>
      <c r="G36" s="490">
        <v>0.32806712962962964</v>
      </c>
      <c r="H36" s="490"/>
    </row>
    <row r="37" spans="1:8" ht="20.100000000000001" customHeight="1">
      <c r="A37" s="489">
        <v>32</v>
      </c>
      <c r="B37" s="94">
        <v>3089</v>
      </c>
      <c r="C37" s="203" t="s">
        <v>416</v>
      </c>
      <c r="D37" s="94" t="s">
        <v>236</v>
      </c>
      <c r="E37" s="94" t="s">
        <v>643</v>
      </c>
      <c r="F37" s="99">
        <v>46020</v>
      </c>
      <c r="G37" s="490">
        <v>0.32656250000000003</v>
      </c>
      <c r="H37" s="490"/>
    </row>
    <row r="38" spans="1:8" ht="20.100000000000001" customHeight="1">
      <c r="A38" s="489">
        <v>33</v>
      </c>
      <c r="B38" s="94">
        <v>3090</v>
      </c>
      <c r="C38" s="203" t="s">
        <v>672</v>
      </c>
      <c r="D38" s="94" t="s">
        <v>236</v>
      </c>
      <c r="E38" s="94" t="s">
        <v>643</v>
      </c>
      <c r="F38" s="99">
        <v>46020</v>
      </c>
      <c r="G38" s="490">
        <v>0.33406249999999998</v>
      </c>
      <c r="H38" s="490"/>
    </row>
    <row r="39" spans="1:8" ht="20.100000000000001" customHeight="1">
      <c r="A39" s="489">
        <v>34</v>
      </c>
      <c r="B39" s="94">
        <v>30904</v>
      </c>
      <c r="C39" s="203" t="s">
        <v>391</v>
      </c>
      <c r="D39" s="94" t="s">
        <v>236</v>
      </c>
      <c r="E39" s="94" t="s">
        <v>643</v>
      </c>
      <c r="F39" s="99">
        <v>46020</v>
      </c>
      <c r="G39" s="490">
        <v>0.33292824074074073</v>
      </c>
      <c r="H39" s="490"/>
    </row>
    <row r="40" spans="1:8" ht="20.100000000000001" customHeight="1">
      <c r="A40" s="489">
        <v>35</v>
      </c>
      <c r="B40" s="94">
        <v>30917</v>
      </c>
      <c r="C40" s="203" t="s">
        <v>673</v>
      </c>
      <c r="D40" s="94" t="s">
        <v>236</v>
      </c>
      <c r="E40" s="94" t="s">
        <v>643</v>
      </c>
      <c r="F40" s="99">
        <v>46020</v>
      </c>
      <c r="G40" s="490">
        <v>0.33568287037037042</v>
      </c>
      <c r="H40" s="490"/>
    </row>
    <row r="41" spans="1:8" ht="20.100000000000001" customHeight="1">
      <c r="A41" s="489">
        <v>36</v>
      </c>
      <c r="B41" s="94">
        <v>30934</v>
      </c>
      <c r="C41" s="203" t="s">
        <v>674</v>
      </c>
      <c r="D41" s="94" t="s">
        <v>236</v>
      </c>
      <c r="E41" s="94" t="s">
        <v>643</v>
      </c>
      <c r="F41" s="99">
        <v>46020</v>
      </c>
      <c r="G41" s="490">
        <v>0.32483796296296297</v>
      </c>
      <c r="H41" s="490"/>
    </row>
    <row r="42" spans="1:8" ht="20.100000000000001" customHeight="1">
      <c r="A42" s="489">
        <v>37</v>
      </c>
      <c r="B42" s="94">
        <v>30940</v>
      </c>
      <c r="C42" s="203" t="s">
        <v>675</v>
      </c>
      <c r="D42" s="94" t="s">
        <v>236</v>
      </c>
      <c r="E42" s="94" t="s">
        <v>643</v>
      </c>
      <c r="F42" s="99">
        <v>46020</v>
      </c>
      <c r="G42" s="490">
        <v>0.33005787037037038</v>
      </c>
      <c r="H42" s="490"/>
    </row>
    <row r="43" spans="1:8" ht="20.100000000000001" customHeight="1">
      <c r="A43" s="489">
        <v>38</v>
      </c>
      <c r="B43" s="94">
        <v>30948</v>
      </c>
      <c r="C43" s="203" t="s">
        <v>676</v>
      </c>
      <c r="D43" s="94" t="s">
        <v>236</v>
      </c>
      <c r="E43" s="94" t="s">
        <v>643</v>
      </c>
      <c r="F43" s="99">
        <v>46020</v>
      </c>
      <c r="G43" s="490">
        <v>0.32982638888888888</v>
      </c>
      <c r="H43" s="490"/>
    </row>
    <row r="44" spans="1:8" ht="20.100000000000001" customHeight="1">
      <c r="A44" s="489">
        <v>39</v>
      </c>
      <c r="B44" s="94">
        <v>30951</v>
      </c>
      <c r="C44" s="203" t="s">
        <v>677</v>
      </c>
      <c r="D44" s="94" t="s">
        <v>236</v>
      </c>
      <c r="E44" s="94" t="s">
        <v>643</v>
      </c>
      <c r="F44" s="99">
        <v>46020</v>
      </c>
      <c r="G44" s="490">
        <v>0.3213078703703704</v>
      </c>
      <c r="H44" s="490"/>
    </row>
    <row r="45" spans="1:8" ht="18.75" customHeight="1">
      <c r="A45" s="489">
        <v>40</v>
      </c>
      <c r="B45" s="94">
        <v>30955</v>
      </c>
      <c r="C45" s="203" t="s">
        <v>678</v>
      </c>
      <c r="D45" s="94" t="s">
        <v>236</v>
      </c>
      <c r="E45" s="94" t="s">
        <v>643</v>
      </c>
      <c r="F45" s="99">
        <v>46020</v>
      </c>
      <c r="G45" s="490">
        <v>0.32518518518518519</v>
      </c>
      <c r="H45" s="490"/>
    </row>
    <row r="46" spans="1:8" ht="20.100000000000001" customHeight="1">
      <c r="A46" s="489">
        <v>41</v>
      </c>
      <c r="B46" s="94">
        <v>30961</v>
      </c>
      <c r="C46" s="203" t="s">
        <v>440</v>
      </c>
      <c r="D46" s="94" t="s">
        <v>236</v>
      </c>
      <c r="E46" s="94" t="s">
        <v>643</v>
      </c>
      <c r="F46" s="99">
        <v>46020</v>
      </c>
      <c r="G46" s="490">
        <v>0.33041666666666664</v>
      </c>
      <c r="H46" s="490"/>
    </row>
    <row r="47" spans="1:8" ht="20.100000000000001" customHeight="1">
      <c r="A47" s="489">
        <v>42</v>
      </c>
      <c r="B47" s="94">
        <v>30964</v>
      </c>
      <c r="C47" s="203" t="s">
        <v>679</v>
      </c>
      <c r="D47" s="94" t="s">
        <v>236</v>
      </c>
      <c r="E47" s="94" t="s">
        <v>643</v>
      </c>
      <c r="F47" s="99">
        <v>46020</v>
      </c>
      <c r="G47" s="490">
        <v>0.32344907407407408</v>
      </c>
      <c r="H47" s="490"/>
    </row>
    <row r="48" spans="1:8" ht="20.100000000000001" customHeight="1">
      <c r="A48" s="489">
        <v>43</v>
      </c>
      <c r="B48" s="94">
        <v>30969</v>
      </c>
      <c r="C48" s="203" t="s">
        <v>680</v>
      </c>
      <c r="D48" s="94" t="s">
        <v>236</v>
      </c>
      <c r="E48" s="94" t="s">
        <v>643</v>
      </c>
      <c r="F48" s="99">
        <v>46020</v>
      </c>
      <c r="G48" s="490">
        <v>0.32701388888888888</v>
      </c>
      <c r="H48" s="490"/>
    </row>
    <row r="49" spans="1:8" ht="20.100000000000001" customHeight="1">
      <c r="A49" s="489">
        <v>44</v>
      </c>
      <c r="B49" s="94">
        <v>30970</v>
      </c>
      <c r="C49" s="203" t="s">
        <v>681</v>
      </c>
      <c r="D49" s="94" t="s">
        <v>236</v>
      </c>
      <c r="E49" s="94" t="s">
        <v>643</v>
      </c>
      <c r="F49" s="99">
        <v>46020</v>
      </c>
      <c r="G49" s="490">
        <v>0.33019675925925923</v>
      </c>
      <c r="H49" s="490"/>
    </row>
    <row r="50" spans="1:8" ht="20.100000000000001" customHeight="1">
      <c r="A50" s="489">
        <v>45</v>
      </c>
      <c r="B50" s="94">
        <v>30971</v>
      </c>
      <c r="C50" s="203" t="s">
        <v>456</v>
      </c>
      <c r="D50" s="94" t="s">
        <v>236</v>
      </c>
      <c r="E50" s="94" t="s">
        <v>643</v>
      </c>
      <c r="F50" s="99">
        <v>46020</v>
      </c>
      <c r="G50" s="490">
        <v>0.3195486111111111</v>
      </c>
      <c r="H50" s="490"/>
    </row>
    <row r="51" spans="1:8" ht="20.100000000000001" customHeight="1">
      <c r="A51" s="489">
        <v>46</v>
      </c>
      <c r="B51" s="94">
        <v>30989</v>
      </c>
      <c r="C51" s="203" t="s">
        <v>682</v>
      </c>
      <c r="D51" s="94" t="s">
        <v>236</v>
      </c>
      <c r="E51" s="94" t="s">
        <v>643</v>
      </c>
      <c r="F51" s="99">
        <v>46020</v>
      </c>
      <c r="G51" s="490">
        <v>0.33239583333333333</v>
      </c>
      <c r="H51" s="490"/>
    </row>
    <row r="52" spans="1:8" ht="20.100000000000001" customHeight="1">
      <c r="A52" s="489">
        <v>47</v>
      </c>
      <c r="B52" s="94">
        <v>30997</v>
      </c>
      <c r="C52" s="203" t="s">
        <v>683</v>
      </c>
      <c r="D52" s="94" t="s">
        <v>236</v>
      </c>
      <c r="E52" s="94" t="s">
        <v>643</v>
      </c>
      <c r="F52" s="99">
        <v>46020</v>
      </c>
      <c r="G52" s="490">
        <v>0.32694444444444443</v>
      </c>
      <c r="H52" s="490"/>
    </row>
    <row r="53" spans="1:8" ht="20.100000000000001" customHeight="1">
      <c r="A53" s="489">
        <v>48</v>
      </c>
      <c r="B53" s="94">
        <v>30999</v>
      </c>
      <c r="C53" s="203" t="s">
        <v>518</v>
      </c>
      <c r="D53" s="94" t="s">
        <v>236</v>
      </c>
      <c r="E53" s="94" t="s">
        <v>643</v>
      </c>
      <c r="F53" s="99">
        <v>46020</v>
      </c>
      <c r="G53" s="490">
        <v>0.32706018518518515</v>
      </c>
      <c r="H53" s="490"/>
    </row>
    <row r="54" spans="1:8" ht="20.100000000000001" customHeight="1">
      <c r="A54" s="489">
        <v>49</v>
      </c>
      <c r="B54" s="94">
        <v>31009</v>
      </c>
      <c r="C54" s="203" t="s">
        <v>684</v>
      </c>
      <c r="D54" s="94" t="s">
        <v>236</v>
      </c>
      <c r="E54" s="94" t="s">
        <v>643</v>
      </c>
      <c r="F54" s="99">
        <v>46020</v>
      </c>
      <c r="G54" s="490">
        <v>0.3321412037037037</v>
      </c>
      <c r="H54" s="490"/>
    </row>
    <row r="55" spans="1:8" ht="20.100000000000001" customHeight="1">
      <c r="A55" s="489">
        <v>50</v>
      </c>
      <c r="B55" s="94">
        <v>31018</v>
      </c>
      <c r="C55" s="203" t="s">
        <v>685</v>
      </c>
      <c r="D55" s="94" t="s">
        <v>236</v>
      </c>
      <c r="E55" s="94" t="s">
        <v>643</v>
      </c>
      <c r="F55" s="99">
        <v>46020</v>
      </c>
      <c r="G55" s="490">
        <v>0.33033564814814814</v>
      </c>
      <c r="H55" s="490"/>
    </row>
    <row r="56" spans="1:8" ht="20.100000000000001" customHeight="1">
      <c r="A56" s="489">
        <v>51</v>
      </c>
      <c r="B56" s="94">
        <v>31071</v>
      </c>
      <c r="C56" s="203" t="s">
        <v>686</v>
      </c>
      <c r="D56" s="94" t="s">
        <v>236</v>
      </c>
      <c r="E56" s="94" t="s">
        <v>643</v>
      </c>
      <c r="F56" s="99">
        <v>46020</v>
      </c>
      <c r="G56" s="490">
        <v>0.30993055555555554</v>
      </c>
      <c r="H56" s="490"/>
    </row>
    <row r="57" spans="1:8" ht="20.100000000000001" customHeight="1">
      <c r="A57" s="489">
        <v>52</v>
      </c>
      <c r="B57" s="94">
        <v>31082</v>
      </c>
      <c r="C57" s="203" t="s">
        <v>687</v>
      </c>
      <c r="D57" s="94" t="s">
        <v>236</v>
      </c>
      <c r="E57" s="94" t="s">
        <v>643</v>
      </c>
      <c r="F57" s="99">
        <v>46020</v>
      </c>
      <c r="G57" s="490">
        <v>0.33155092592592594</v>
      </c>
      <c r="H57" s="490"/>
    </row>
    <row r="58" spans="1:8" ht="20.100000000000001" customHeight="1">
      <c r="A58" s="489">
        <v>53</v>
      </c>
      <c r="B58" s="94">
        <v>31133</v>
      </c>
      <c r="C58" s="203" t="s">
        <v>567</v>
      </c>
      <c r="D58" s="94" t="s">
        <v>236</v>
      </c>
      <c r="E58" s="94" t="s">
        <v>643</v>
      </c>
      <c r="F58" s="99">
        <v>46020</v>
      </c>
      <c r="G58" s="490">
        <v>0.32666666666666666</v>
      </c>
      <c r="H58" s="490"/>
    </row>
    <row r="59" spans="1:8" ht="20.100000000000001" customHeight="1">
      <c r="A59" s="489">
        <v>54</v>
      </c>
      <c r="B59" s="94">
        <v>31143</v>
      </c>
      <c r="C59" s="203" t="s">
        <v>575</v>
      </c>
      <c r="D59" s="94" t="s">
        <v>236</v>
      </c>
      <c r="E59" s="94" t="s">
        <v>643</v>
      </c>
      <c r="F59" s="99">
        <v>46020</v>
      </c>
      <c r="G59" s="490">
        <v>0.33326388888888886</v>
      </c>
      <c r="H59" s="490"/>
    </row>
    <row r="60" spans="1:8" ht="20.100000000000001" customHeight="1">
      <c r="A60" s="489">
        <v>55</v>
      </c>
      <c r="B60" s="94">
        <v>31168</v>
      </c>
      <c r="C60" s="203" t="s">
        <v>688</v>
      </c>
      <c r="D60" s="94" t="s">
        <v>236</v>
      </c>
      <c r="E60" s="94" t="s">
        <v>643</v>
      </c>
      <c r="F60" s="99">
        <v>46020</v>
      </c>
      <c r="G60" s="490">
        <v>0.31959490740740742</v>
      </c>
      <c r="H60" s="490"/>
    </row>
    <row r="61" spans="1:8" ht="20.100000000000001" customHeight="1">
      <c r="A61" s="489">
        <v>56</v>
      </c>
      <c r="B61" s="94">
        <v>312</v>
      </c>
      <c r="C61" s="203" t="s">
        <v>689</v>
      </c>
      <c r="D61" s="94" t="s">
        <v>236</v>
      </c>
      <c r="E61" s="94" t="s">
        <v>643</v>
      </c>
      <c r="F61" s="99">
        <v>46020</v>
      </c>
      <c r="G61" s="490">
        <v>0.33232638888888888</v>
      </c>
      <c r="H61" s="490"/>
    </row>
    <row r="62" spans="1:8" ht="20.100000000000001" customHeight="1">
      <c r="A62" s="489">
        <v>57</v>
      </c>
      <c r="B62" s="94">
        <v>3129</v>
      </c>
      <c r="C62" s="203" t="s">
        <v>691</v>
      </c>
      <c r="D62" s="94" t="s">
        <v>236</v>
      </c>
      <c r="E62" s="94" t="s">
        <v>643</v>
      </c>
      <c r="F62" s="99">
        <v>46020</v>
      </c>
      <c r="G62" s="490">
        <v>0.33454861111111112</v>
      </c>
      <c r="H62" s="490"/>
    </row>
    <row r="63" spans="1:8" ht="20.100000000000001" customHeight="1">
      <c r="A63" s="489">
        <v>58</v>
      </c>
      <c r="B63" s="94">
        <v>3205</v>
      </c>
      <c r="C63" s="203" t="s">
        <v>693</v>
      </c>
      <c r="D63" s="94" t="s">
        <v>236</v>
      </c>
      <c r="E63" s="94" t="s">
        <v>643</v>
      </c>
      <c r="F63" s="99">
        <v>46020</v>
      </c>
      <c r="G63" s="490">
        <v>0.33099537037037036</v>
      </c>
      <c r="H63" s="490"/>
    </row>
    <row r="64" spans="1:8" ht="20.100000000000001" customHeight="1">
      <c r="A64" s="489">
        <v>59</v>
      </c>
      <c r="B64" s="94">
        <v>523</v>
      </c>
      <c r="C64" s="203" t="s">
        <v>348</v>
      </c>
      <c r="D64" s="94" t="s">
        <v>236</v>
      </c>
      <c r="E64" s="94" t="s">
        <v>643</v>
      </c>
      <c r="F64" s="99">
        <v>46020</v>
      </c>
      <c r="G64" s="490">
        <v>0.37541666666666668</v>
      </c>
      <c r="H64" s="490"/>
    </row>
    <row r="65" spans="1:8" ht="20.100000000000001" customHeight="1">
      <c r="A65" s="489">
        <v>60</v>
      </c>
      <c r="B65" s="94">
        <v>540</v>
      </c>
      <c r="C65" s="203" t="s">
        <v>694</v>
      </c>
      <c r="D65" s="94" t="s">
        <v>236</v>
      </c>
      <c r="E65" s="94" t="s">
        <v>643</v>
      </c>
      <c r="F65" s="99">
        <v>46020</v>
      </c>
      <c r="G65" s="490">
        <v>0.32817129629629632</v>
      </c>
      <c r="H65" s="490"/>
    </row>
    <row r="66" spans="1:8" ht="20.100000000000001" customHeight="1">
      <c r="A66" s="489">
        <v>61</v>
      </c>
      <c r="B66" s="94">
        <v>633</v>
      </c>
      <c r="C66" s="203" t="s">
        <v>695</v>
      </c>
      <c r="D66" s="94" t="s">
        <v>236</v>
      </c>
      <c r="E66" s="94" t="s">
        <v>643</v>
      </c>
      <c r="F66" s="99">
        <v>46020</v>
      </c>
      <c r="G66" s="490">
        <v>0.33340277777777777</v>
      </c>
      <c r="H66" s="490"/>
    </row>
    <row r="67" spans="1:8" ht="20.100000000000001" customHeight="1">
      <c r="A67" s="489">
        <v>62</v>
      </c>
      <c r="B67" s="94">
        <v>2613</v>
      </c>
      <c r="C67" s="203" t="s">
        <v>655</v>
      </c>
      <c r="D67" s="94" t="s">
        <v>236</v>
      </c>
      <c r="E67" s="94" t="s">
        <v>656</v>
      </c>
      <c r="F67" s="99">
        <v>46020</v>
      </c>
      <c r="G67" s="490">
        <v>0.31460648148148146</v>
      </c>
      <c r="H67" s="490"/>
    </row>
    <row r="68" spans="1:8" ht="20.100000000000001" customHeight="1">
      <c r="A68" s="489">
        <v>63</v>
      </c>
      <c r="B68" s="94">
        <v>2646</v>
      </c>
      <c r="C68" s="203" t="s">
        <v>245</v>
      </c>
      <c r="D68" s="94" t="s">
        <v>236</v>
      </c>
      <c r="E68" s="94" t="s">
        <v>656</v>
      </c>
      <c r="F68" s="99">
        <v>46020</v>
      </c>
      <c r="G68" s="490">
        <v>0.32209490740740737</v>
      </c>
      <c r="H68" s="490"/>
    </row>
    <row r="69" spans="1:8" ht="20.100000000000001" customHeight="1">
      <c r="A69" s="489">
        <v>64</v>
      </c>
      <c r="B69" s="94">
        <v>2686</v>
      </c>
      <c r="C69" s="203" t="s">
        <v>268</v>
      </c>
      <c r="D69" s="94" t="s">
        <v>236</v>
      </c>
      <c r="E69" s="94" t="s">
        <v>656</v>
      </c>
      <c r="F69" s="99">
        <v>46020</v>
      </c>
      <c r="G69" s="490">
        <v>0.31792824074074072</v>
      </c>
      <c r="H69" s="490"/>
    </row>
    <row r="70" spans="1:8" ht="20.100000000000001" customHeight="1">
      <c r="A70" s="489">
        <v>65</v>
      </c>
      <c r="B70" s="94">
        <v>2700</v>
      </c>
      <c r="C70" s="203" t="s">
        <v>657</v>
      </c>
      <c r="D70" s="94" t="s">
        <v>236</v>
      </c>
      <c r="E70" s="94" t="s">
        <v>656</v>
      </c>
      <c r="F70" s="99">
        <v>46020</v>
      </c>
      <c r="G70" s="490">
        <v>0.31839120370370372</v>
      </c>
      <c r="H70" s="490"/>
    </row>
    <row r="71" spans="1:8" ht="20.100000000000001" customHeight="1">
      <c r="A71" s="489">
        <v>66</v>
      </c>
      <c r="B71" s="94">
        <v>2852</v>
      </c>
      <c r="C71" s="203" t="s">
        <v>659</v>
      </c>
      <c r="D71" s="94" t="s">
        <v>236</v>
      </c>
      <c r="E71" s="94" t="s">
        <v>656</v>
      </c>
      <c r="F71" s="99">
        <v>46020</v>
      </c>
      <c r="G71" s="490">
        <v>0.3426967592592593</v>
      </c>
      <c r="H71" s="490"/>
    </row>
    <row r="72" spans="1:8" ht="20.100000000000001" customHeight="1">
      <c r="A72" s="489">
        <v>67</v>
      </c>
      <c r="B72" s="94">
        <v>2932</v>
      </c>
      <c r="C72" s="203" t="s">
        <v>660</v>
      </c>
      <c r="D72" s="94" t="s">
        <v>236</v>
      </c>
      <c r="E72" s="94" t="s">
        <v>656</v>
      </c>
      <c r="F72" s="99">
        <v>46020</v>
      </c>
      <c r="G72" s="490">
        <v>0.33428240740740739</v>
      </c>
      <c r="H72" s="490"/>
    </row>
    <row r="73" spans="1:8" ht="20.100000000000001" customHeight="1">
      <c r="A73" s="489">
        <v>68</v>
      </c>
      <c r="B73" s="94">
        <v>2935</v>
      </c>
      <c r="C73" s="203" t="s">
        <v>661</v>
      </c>
      <c r="D73" s="94" t="s">
        <v>236</v>
      </c>
      <c r="E73" s="94" t="s">
        <v>656</v>
      </c>
      <c r="F73" s="99">
        <v>46020</v>
      </c>
      <c r="G73" s="490">
        <v>0.3356365740740741</v>
      </c>
      <c r="H73" s="490"/>
    </row>
    <row r="74" spans="1:8" ht="20.100000000000001" customHeight="1">
      <c r="A74" s="489">
        <v>69</v>
      </c>
      <c r="B74" s="94">
        <v>2940</v>
      </c>
      <c r="C74" s="203" t="s">
        <v>663</v>
      </c>
      <c r="D74" s="94" t="s">
        <v>236</v>
      </c>
      <c r="E74" s="94" t="s">
        <v>656</v>
      </c>
      <c r="F74" s="99">
        <v>46020</v>
      </c>
      <c r="G74" s="490">
        <v>0.33498842592592593</v>
      </c>
      <c r="H74" s="490"/>
    </row>
    <row r="75" spans="1:8" ht="20.100000000000001" customHeight="1">
      <c r="A75" s="489">
        <v>70</v>
      </c>
      <c r="B75" s="94">
        <v>2952</v>
      </c>
      <c r="C75" s="203" t="s">
        <v>664</v>
      </c>
      <c r="D75" s="94" t="s">
        <v>236</v>
      </c>
      <c r="E75" s="94" t="s">
        <v>656</v>
      </c>
      <c r="F75" s="99">
        <v>46020</v>
      </c>
      <c r="G75" s="490">
        <v>0.33131944444444444</v>
      </c>
      <c r="H75" s="490"/>
    </row>
    <row r="76" spans="1:8" ht="20.100000000000001" customHeight="1">
      <c r="A76" s="489">
        <v>71</v>
      </c>
      <c r="B76" s="94">
        <v>3023</v>
      </c>
      <c r="C76" s="203" t="s">
        <v>211</v>
      </c>
      <c r="D76" s="94" t="s">
        <v>236</v>
      </c>
      <c r="E76" s="94" t="s">
        <v>656</v>
      </c>
      <c r="F76" s="99">
        <v>46020</v>
      </c>
      <c r="G76" s="490">
        <v>0.33076388888888891</v>
      </c>
      <c r="H76" s="490"/>
    </row>
    <row r="77" spans="1:8" ht="20.100000000000001" customHeight="1">
      <c r="A77" s="489">
        <v>72</v>
      </c>
      <c r="B77" s="94">
        <v>3032</v>
      </c>
      <c r="C77" s="203" t="s">
        <v>665</v>
      </c>
      <c r="D77" s="94" t="s">
        <v>236</v>
      </c>
      <c r="E77" s="94" t="s">
        <v>656</v>
      </c>
      <c r="F77" s="99">
        <v>46020</v>
      </c>
      <c r="G77" s="490">
        <v>0.32028935185185187</v>
      </c>
      <c r="H77" s="490"/>
    </row>
    <row r="78" spans="1:8" ht="20.100000000000001" customHeight="1">
      <c r="A78" s="489">
        <v>73</v>
      </c>
      <c r="B78" s="94">
        <v>3033</v>
      </c>
      <c r="C78" s="203" t="s">
        <v>666</v>
      </c>
      <c r="D78" s="94" t="s">
        <v>236</v>
      </c>
      <c r="E78" s="94" t="s">
        <v>656</v>
      </c>
      <c r="F78" s="99">
        <v>46020</v>
      </c>
      <c r="G78" s="490">
        <v>0.3279050925925926</v>
      </c>
      <c r="H78" s="490"/>
    </row>
    <row r="79" spans="1:8" ht="20.100000000000001" customHeight="1">
      <c r="A79" s="489">
        <v>74</v>
      </c>
      <c r="B79" s="94">
        <v>3128</v>
      </c>
      <c r="C79" s="203" t="s">
        <v>690</v>
      </c>
      <c r="D79" s="94" t="s">
        <v>236</v>
      </c>
      <c r="E79" s="94" t="s">
        <v>656</v>
      </c>
      <c r="F79" s="99">
        <v>46020</v>
      </c>
      <c r="G79" s="490">
        <v>0.33261574074074074</v>
      </c>
      <c r="H79" s="490"/>
    </row>
    <row r="80" spans="1:8" ht="20.100000000000001" customHeight="1">
      <c r="A80" s="489">
        <v>75</v>
      </c>
      <c r="B80" s="94">
        <v>3178</v>
      </c>
      <c r="C80" s="203" t="s">
        <v>692</v>
      </c>
      <c r="D80" s="94" t="s">
        <v>236</v>
      </c>
      <c r="E80" s="94" t="s">
        <v>656</v>
      </c>
      <c r="F80" s="99">
        <v>46020</v>
      </c>
      <c r="G80" s="490">
        <v>0.33568287037037042</v>
      </c>
      <c r="H80" s="490"/>
    </row>
    <row r="81" spans="1:8" ht="20.100000000000001" customHeight="1">
      <c r="A81" s="489">
        <v>76</v>
      </c>
      <c r="B81" s="94">
        <v>3202</v>
      </c>
      <c r="C81" s="203" t="s">
        <v>555</v>
      </c>
      <c r="D81" s="94" t="s">
        <v>236</v>
      </c>
      <c r="E81" s="94" t="s">
        <v>656</v>
      </c>
      <c r="F81" s="99">
        <v>46020</v>
      </c>
      <c r="G81" s="490">
        <v>0.33429398148148143</v>
      </c>
      <c r="H81" s="490"/>
    </row>
    <row r="82" spans="1:8" ht="20.100000000000001" customHeight="1">
      <c r="A82" s="489">
        <v>77</v>
      </c>
      <c r="B82" s="94">
        <v>629</v>
      </c>
      <c r="C82" s="203" t="s">
        <v>248</v>
      </c>
      <c r="D82" s="94" t="s">
        <v>236</v>
      </c>
      <c r="E82" s="94" t="s">
        <v>656</v>
      </c>
      <c r="F82" s="99">
        <v>46020</v>
      </c>
      <c r="G82" s="490">
        <v>0.33167824074074076</v>
      </c>
      <c r="H82" s="490"/>
    </row>
    <row r="90" spans="1:8" ht="9" customHeight="1"/>
    <row r="91" spans="1:8" ht="15" customHeight="1"/>
    <row r="106" spans="1:9" ht="33.75" customHeight="1"/>
    <row r="107" spans="1:9" ht="15.6">
      <c r="A107" s="586" t="s">
        <v>637</v>
      </c>
      <c r="B107" s="586"/>
      <c r="C107" s="586"/>
      <c r="D107" s="586"/>
      <c r="E107" s="586"/>
      <c r="F107" s="586"/>
      <c r="G107" s="586"/>
      <c r="H107" s="586"/>
      <c r="I107" s="586"/>
    </row>
    <row r="108" spans="1:9" ht="15.6">
      <c r="A108" s="586" t="s">
        <v>274</v>
      </c>
      <c r="B108" s="586"/>
      <c r="C108" s="586"/>
      <c r="D108" s="586"/>
      <c r="E108" s="586"/>
      <c r="F108" s="586"/>
      <c r="G108" s="586"/>
      <c r="H108" s="586"/>
      <c r="I108" s="586"/>
    </row>
    <row r="109" spans="1:9" ht="15.6">
      <c r="A109" s="586" t="s">
        <v>696</v>
      </c>
      <c r="B109" s="586"/>
      <c r="C109" s="586"/>
      <c r="D109" s="586"/>
      <c r="E109" s="586"/>
      <c r="F109" s="586"/>
      <c r="G109" s="586"/>
      <c r="H109" s="586"/>
      <c r="I109" s="586"/>
    </row>
    <row r="110" spans="1:9">
      <c r="C110"/>
      <c r="D110"/>
      <c r="F110"/>
      <c r="G110"/>
      <c r="H110"/>
      <c r="I110"/>
    </row>
    <row r="111" spans="1:9">
      <c r="A111" s="587" t="s">
        <v>239</v>
      </c>
      <c r="B111" s="587" t="s">
        <v>639</v>
      </c>
      <c r="C111" s="587" t="s">
        <v>640</v>
      </c>
      <c r="D111" s="587" t="s">
        <v>493</v>
      </c>
      <c r="E111" s="587" t="s">
        <v>571</v>
      </c>
      <c r="F111" s="587" t="s">
        <v>641</v>
      </c>
      <c r="G111" s="587" t="s">
        <v>642</v>
      </c>
      <c r="H111" s="587" t="s">
        <v>697</v>
      </c>
      <c r="I111" s="491" t="s">
        <v>698</v>
      </c>
    </row>
    <row r="112" spans="1:9">
      <c r="A112" s="588"/>
      <c r="B112" s="588"/>
      <c r="C112" s="588"/>
      <c r="D112" s="588"/>
      <c r="E112" s="588"/>
      <c r="F112" s="588"/>
      <c r="G112" s="588"/>
      <c r="H112" s="588"/>
      <c r="I112" s="492" t="s">
        <v>699</v>
      </c>
    </row>
    <row r="113" spans="1:9">
      <c r="A113" s="497">
        <v>1</v>
      </c>
      <c r="B113" s="493">
        <v>1251</v>
      </c>
      <c r="C113" s="494" t="s">
        <v>647</v>
      </c>
      <c r="D113" s="494" t="s">
        <v>236</v>
      </c>
      <c r="E113" s="493" t="s">
        <v>643</v>
      </c>
      <c r="F113" s="495">
        <v>46012</v>
      </c>
      <c r="G113" s="496">
        <v>0.39439814814814816</v>
      </c>
      <c r="H113" s="496">
        <v>0.66768518518518516</v>
      </c>
      <c r="I113" s="496">
        <v>0.27328703703703705</v>
      </c>
    </row>
    <row r="114" spans="1:9">
      <c r="A114" s="497">
        <v>2</v>
      </c>
      <c r="B114" s="493">
        <v>308</v>
      </c>
      <c r="C114" s="494" t="s">
        <v>669</v>
      </c>
      <c r="D114" s="494" t="s">
        <v>236</v>
      </c>
      <c r="E114" s="493" t="s">
        <v>643</v>
      </c>
      <c r="F114" s="495">
        <v>46012</v>
      </c>
      <c r="G114" s="496">
        <v>0.37081018518518521</v>
      </c>
      <c r="H114" s="496">
        <v>0.67048611111111101</v>
      </c>
      <c r="I114" s="496">
        <v>0.2996759259259259</v>
      </c>
    </row>
    <row r="115" spans="1:9">
      <c r="A115" s="497">
        <v>3</v>
      </c>
      <c r="B115" s="493">
        <v>1182</v>
      </c>
      <c r="C115" s="494" t="s">
        <v>645</v>
      </c>
      <c r="D115" s="494" t="s">
        <v>236</v>
      </c>
      <c r="E115" s="493" t="s">
        <v>643</v>
      </c>
      <c r="F115" s="495">
        <v>46012</v>
      </c>
      <c r="G115" s="496">
        <v>0.37170138888888887</v>
      </c>
      <c r="H115" s="496">
        <v>0.67724537037037036</v>
      </c>
      <c r="I115" s="496">
        <v>0.30554398148148149</v>
      </c>
    </row>
    <row r="116" spans="1:9">
      <c r="A116" s="497">
        <v>4</v>
      </c>
      <c r="B116" s="493">
        <v>1181</v>
      </c>
      <c r="C116" s="494" t="s">
        <v>644</v>
      </c>
      <c r="D116" s="494" t="s">
        <v>236</v>
      </c>
      <c r="E116" s="493" t="s">
        <v>643</v>
      </c>
      <c r="F116" s="495">
        <v>46012</v>
      </c>
      <c r="G116" s="496">
        <v>0.37964120370370374</v>
      </c>
      <c r="H116" s="496">
        <v>0.67726851851851855</v>
      </c>
      <c r="I116" s="496">
        <v>0.2976273148148148</v>
      </c>
    </row>
    <row r="117" spans="1:9">
      <c r="A117" s="497">
        <v>5</v>
      </c>
      <c r="B117" s="493">
        <v>1243</v>
      </c>
      <c r="C117" s="494" t="s">
        <v>646</v>
      </c>
      <c r="D117" s="494" t="s">
        <v>236</v>
      </c>
      <c r="E117" s="493" t="s">
        <v>643</v>
      </c>
      <c r="F117" s="495">
        <v>46012</v>
      </c>
      <c r="G117" s="496">
        <v>0.3828125</v>
      </c>
      <c r="H117" s="496">
        <v>0.67719907407407398</v>
      </c>
      <c r="I117" s="496">
        <v>0.29438657407407409</v>
      </c>
    </row>
    <row r="118" spans="1:9">
      <c r="A118" s="497">
        <v>6</v>
      </c>
      <c r="B118" s="493">
        <v>2765</v>
      </c>
      <c r="C118" s="494" t="s">
        <v>168</v>
      </c>
      <c r="D118" s="494" t="s">
        <v>236</v>
      </c>
      <c r="E118" s="493" t="s">
        <v>643</v>
      </c>
      <c r="F118" s="495">
        <v>46012</v>
      </c>
      <c r="G118" s="496">
        <v>0.38131944444444449</v>
      </c>
      <c r="H118" s="496">
        <v>0.67162037037037037</v>
      </c>
      <c r="I118" s="496">
        <v>0.29030092592592593</v>
      </c>
    </row>
    <row r="119" spans="1:9">
      <c r="A119" s="497">
        <v>7</v>
      </c>
      <c r="B119" s="493">
        <v>2090</v>
      </c>
      <c r="C119" s="494" t="s">
        <v>648</v>
      </c>
      <c r="D119" s="494" t="s">
        <v>236</v>
      </c>
      <c r="E119" s="493" t="s">
        <v>643</v>
      </c>
      <c r="F119" s="495">
        <v>46012</v>
      </c>
      <c r="G119" s="496">
        <v>0.39829861111111109</v>
      </c>
      <c r="H119" s="496">
        <v>0.66716435185185186</v>
      </c>
      <c r="I119" s="496">
        <v>0.26886574074074071</v>
      </c>
    </row>
    <row r="120" spans="1:9">
      <c r="A120" s="497">
        <v>8</v>
      </c>
      <c r="B120" s="493">
        <v>2285</v>
      </c>
      <c r="C120" s="494" t="s">
        <v>649</v>
      </c>
      <c r="D120" s="494" t="s">
        <v>236</v>
      </c>
      <c r="E120" s="493" t="s">
        <v>643</v>
      </c>
      <c r="F120" s="495">
        <v>46012</v>
      </c>
      <c r="G120" s="496">
        <v>0.38168981481481484</v>
      </c>
      <c r="H120" s="496">
        <v>0.66917824074074073</v>
      </c>
      <c r="I120" s="496">
        <v>0.28748842592592594</v>
      </c>
    </row>
    <row r="121" spans="1:9">
      <c r="A121" s="497">
        <v>9</v>
      </c>
      <c r="B121" s="493">
        <v>2442</v>
      </c>
      <c r="C121" s="494" t="s">
        <v>650</v>
      </c>
      <c r="D121" s="494" t="s">
        <v>236</v>
      </c>
      <c r="E121" s="493" t="s">
        <v>643</v>
      </c>
      <c r="F121" s="495">
        <v>46012</v>
      </c>
      <c r="G121" s="496">
        <v>0.34151620370370367</v>
      </c>
      <c r="H121" s="496">
        <v>0.67416666666666669</v>
      </c>
      <c r="I121" s="496">
        <v>0.33265046296296297</v>
      </c>
    </row>
    <row r="122" spans="1:9">
      <c r="A122" s="497">
        <v>10</v>
      </c>
      <c r="B122" s="493">
        <v>2454</v>
      </c>
      <c r="C122" s="494" t="s">
        <v>651</v>
      </c>
      <c r="D122" s="494" t="s">
        <v>236</v>
      </c>
      <c r="E122" s="493" t="s">
        <v>643</v>
      </c>
      <c r="F122" s="495">
        <v>46012</v>
      </c>
      <c r="G122" s="496">
        <v>0.33001157407407405</v>
      </c>
      <c r="H122" s="496">
        <v>0.67458333333333342</v>
      </c>
      <c r="I122" s="496">
        <v>0.34457175925925926</v>
      </c>
    </row>
    <row r="123" spans="1:9">
      <c r="A123" s="497">
        <v>11</v>
      </c>
      <c r="B123" s="493">
        <v>2490</v>
      </c>
      <c r="C123" s="494" t="s">
        <v>652</v>
      </c>
      <c r="D123" s="494" t="s">
        <v>236</v>
      </c>
      <c r="E123" s="493" t="s">
        <v>643</v>
      </c>
      <c r="F123" s="495">
        <v>46012</v>
      </c>
      <c r="G123" s="496">
        <v>0.34833333333333333</v>
      </c>
      <c r="H123" s="496">
        <v>0.6896296296296297</v>
      </c>
      <c r="I123" s="496">
        <v>0.34129629629629626</v>
      </c>
    </row>
    <row r="124" spans="1:9">
      <c r="A124" s="497">
        <v>12</v>
      </c>
      <c r="B124" s="493">
        <v>2499</v>
      </c>
      <c r="C124" s="494" t="s">
        <v>355</v>
      </c>
      <c r="D124" s="494" t="s">
        <v>236</v>
      </c>
      <c r="E124" s="493" t="s">
        <v>643</v>
      </c>
      <c r="F124" s="495">
        <v>46012</v>
      </c>
      <c r="G124" s="496">
        <v>0.34093749999999995</v>
      </c>
      <c r="H124" s="496">
        <v>0.69127314814814811</v>
      </c>
      <c r="I124" s="496">
        <v>0.35033564814814816</v>
      </c>
    </row>
    <row r="125" spans="1:9">
      <c r="A125" s="497">
        <v>13</v>
      </c>
      <c r="B125" s="493">
        <v>2501</v>
      </c>
      <c r="C125" s="494" t="s">
        <v>653</v>
      </c>
      <c r="D125" s="494" t="s">
        <v>236</v>
      </c>
      <c r="E125" s="493" t="s">
        <v>643</v>
      </c>
      <c r="F125" s="495">
        <v>46012</v>
      </c>
      <c r="G125" s="496">
        <v>0.34821759259259261</v>
      </c>
      <c r="H125" s="496">
        <v>0.68935185185185188</v>
      </c>
      <c r="I125" s="496">
        <v>0.34113425925925928</v>
      </c>
    </row>
    <row r="126" spans="1:9">
      <c r="A126" s="497">
        <v>14</v>
      </c>
      <c r="B126" s="493">
        <v>2502</v>
      </c>
      <c r="C126" s="494" t="s">
        <v>359</v>
      </c>
      <c r="D126" s="494" t="s">
        <v>236</v>
      </c>
      <c r="E126" s="493" t="s">
        <v>643</v>
      </c>
      <c r="F126" s="495">
        <v>46012</v>
      </c>
      <c r="G126" s="496">
        <v>0.33150462962962962</v>
      </c>
      <c r="H126" s="496">
        <v>0.6894097222222223</v>
      </c>
      <c r="I126" s="496">
        <v>0.35790509259259262</v>
      </c>
    </row>
    <row r="127" spans="1:9">
      <c r="A127" s="497">
        <v>15</v>
      </c>
      <c r="B127" s="493">
        <v>2512</v>
      </c>
      <c r="C127" s="494" t="s">
        <v>362</v>
      </c>
      <c r="D127" s="494" t="s">
        <v>236</v>
      </c>
      <c r="E127" s="493" t="s">
        <v>643</v>
      </c>
      <c r="F127" s="495">
        <v>46012</v>
      </c>
      <c r="G127" s="496">
        <v>0.38162037037037039</v>
      </c>
      <c r="H127" s="496">
        <v>0.66903935185185182</v>
      </c>
      <c r="I127" s="496">
        <v>0.28741898148148148</v>
      </c>
    </row>
    <row r="128" spans="1:9">
      <c r="A128" s="497">
        <v>16</v>
      </c>
      <c r="B128" s="493">
        <v>2514</v>
      </c>
      <c r="C128" s="494" t="s">
        <v>700</v>
      </c>
      <c r="D128" s="494" t="s">
        <v>236</v>
      </c>
      <c r="E128" s="493" t="s">
        <v>643</v>
      </c>
      <c r="F128" s="495">
        <v>46012</v>
      </c>
      <c r="G128" s="496">
        <v>0.37180555555555556</v>
      </c>
      <c r="H128" s="496">
        <v>0.67034722222222232</v>
      </c>
      <c r="I128" s="496">
        <v>0.29854166666666665</v>
      </c>
    </row>
    <row r="129" spans="1:9">
      <c r="A129" s="497">
        <v>17</v>
      </c>
      <c r="B129" s="493">
        <v>2519</v>
      </c>
      <c r="C129" s="494" t="s">
        <v>654</v>
      </c>
      <c r="D129" s="494" t="s">
        <v>236</v>
      </c>
      <c r="E129" s="493" t="s">
        <v>643</v>
      </c>
      <c r="F129" s="495">
        <v>46012</v>
      </c>
      <c r="G129" s="496">
        <v>0.33938657407407408</v>
      </c>
      <c r="H129" s="496">
        <v>0.67219907407407409</v>
      </c>
      <c r="I129" s="496">
        <v>0.33281250000000001</v>
      </c>
    </row>
    <row r="130" spans="1:9">
      <c r="A130" s="497">
        <v>18</v>
      </c>
      <c r="B130" s="493">
        <v>2541</v>
      </c>
      <c r="C130" s="494" t="s">
        <v>127</v>
      </c>
      <c r="D130" s="494" t="s">
        <v>236</v>
      </c>
      <c r="E130" s="493" t="s">
        <v>643</v>
      </c>
      <c r="F130" s="495">
        <v>46012</v>
      </c>
      <c r="G130" s="496">
        <v>0.37593750000000004</v>
      </c>
      <c r="H130" s="496">
        <v>0.67042824074074081</v>
      </c>
      <c r="I130" s="496">
        <v>0.29449074074074072</v>
      </c>
    </row>
    <row r="131" spans="1:9">
      <c r="A131" s="497">
        <v>19</v>
      </c>
      <c r="B131" s="493">
        <v>2689</v>
      </c>
      <c r="C131" s="494" t="s">
        <v>154</v>
      </c>
      <c r="D131" s="494" t="s">
        <v>236</v>
      </c>
      <c r="E131" s="493" t="s">
        <v>643</v>
      </c>
      <c r="F131" s="495">
        <v>46012</v>
      </c>
      <c r="G131" s="496">
        <v>0.36406250000000001</v>
      </c>
      <c r="H131" s="496">
        <v>0.66675925925925927</v>
      </c>
      <c r="I131" s="496">
        <v>0.30269675925925926</v>
      </c>
    </row>
    <row r="132" spans="1:9">
      <c r="A132" s="497">
        <v>20</v>
      </c>
      <c r="B132" s="493">
        <v>2728</v>
      </c>
      <c r="C132" s="494" t="s">
        <v>658</v>
      </c>
      <c r="D132" s="494" t="s">
        <v>236</v>
      </c>
      <c r="E132" s="493" t="s">
        <v>643</v>
      </c>
      <c r="F132" s="495">
        <v>46012</v>
      </c>
      <c r="G132" s="496">
        <v>0.37164351851851851</v>
      </c>
      <c r="H132" s="496">
        <v>0.67100694444444453</v>
      </c>
      <c r="I132" s="496">
        <v>0.29936342592592591</v>
      </c>
    </row>
    <row r="133" spans="1:9">
      <c r="A133" s="497">
        <v>21</v>
      </c>
      <c r="B133" s="493">
        <v>2827</v>
      </c>
      <c r="C133" s="494" t="s">
        <v>279</v>
      </c>
      <c r="D133" s="494" t="s">
        <v>236</v>
      </c>
      <c r="E133" s="493" t="s">
        <v>643</v>
      </c>
      <c r="F133" s="495">
        <v>46012</v>
      </c>
      <c r="G133" s="496">
        <v>0.3716782407407408</v>
      </c>
      <c r="H133" s="496">
        <v>0.67060185185185184</v>
      </c>
      <c r="I133" s="496">
        <v>0.2989236111111111</v>
      </c>
    </row>
    <row r="134" spans="1:9">
      <c r="A134" s="497">
        <v>22</v>
      </c>
      <c r="B134" s="493">
        <v>2898</v>
      </c>
      <c r="C134" s="494" t="s">
        <v>190</v>
      </c>
      <c r="D134" s="494" t="s">
        <v>236</v>
      </c>
      <c r="E134" s="493" t="s">
        <v>643</v>
      </c>
      <c r="F134" s="495">
        <v>46012</v>
      </c>
      <c r="G134" s="496">
        <v>0.38137731481481479</v>
      </c>
      <c r="H134" s="496">
        <v>0.67181712962962958</v>
      </c>
      <c r="I134" s="496">
        <v>0.29043981481481479</v>
      </c>
    </row>
    <row r="135" spans="1:9">
      <c r="A135" s="497">
        <v>23</v>
      </c>
      <c r="B135" s="493">
        <v>2921</v>
      </c>
      <c r="C135" s="494" t="s">
        <v>364</v>
      </c>
      <c r="D135" s="494" t="s">
        <v>236</v>
      </c>
      <c r="E135" s="493" t="s">
        <v>643</v>
      </c>
      <c r="F135" s="495">
        <v>46012</v>
      </c>
      <c r="G135" s="496">
        <v>0.38126157407407407</v>
      </c>
      <c r="H135" s="496">
        <v>0.67166666666666675</v>
      </c>
      <c r="I135" s="496">
        <v>0.29040509259259256</v>
      </c>
    </row>
    <row r="136" spans="1:9">
      <c r="A136" s="497">
        <v>24</v>
      </c>
      <c r="B136" s="493">
        <v>2934</v>
      </c>
      <c r="C136" s="494" t="s">
        <v>319</v>
      </c>
      <c r="D136" s="494" t="s">
        <v>236</v>
      </c>
      <c r="E136" s="493" t="s">
        <v>643</v>
      </c>
      <c r="F136" s="495">
        <v>46012</v>
      </c>
      <c r="G136" s="496">
        <v>0.38146990740740744</v>
      </c>
      <c r="H136" s="496">
        <v>0.67228009259259258</v>
      </c>
      <c r="I136" s="496">
        <v>0.2908101851851852</v>
      </c>
    </row>
    <row r="137" spans="1:9">
      <c r="A137" s="497">
        <v>25</v>
      </c>
      <c r="B137" s="493">
        <v>2936</v>
      </c>
      <c r="C137" s="494" t="s">
        <v>662</v>
      </c>
      <c r="D137" s="494" t="s">
        <v>236</v>
      </c>
      <c r="E137" s="493" t="s">
        <v>643</v>
      </c>
      <c r="F137" s="495">
        <v>46012</v>
      </c>
      <c r="G137" s="496">
        <v>0.37119212962962966</v>
      </c>
      <c r="H137" s="496">
        <v>0.6716550925925926</v>
      </c>
      <c r="I137" s="496">
        <v>0.30046296296296299</v>
      </c>
    </row>
    <row r="138" spans="1:9">
      <c r="A138" s="497">
        <v>26</v>
      </c>
      <c r="B138" s="493">
        <v>2947</v>
      </c>
      <c r="C138" s="494" t="s">
        <v>204</v>
      </c>
      <c r="D138" s="494" t="s">
        <v>236</v>
      </c>
      <c r="E138" s="493" t="s">
        <v>643</v>
      </c>
      <c r="F138" s="495">
        <v>46012</v>
      </c>
      <c r="G138" s="496">
        <v>0.37474537037037042</v>
      </c>
      <c r="H138" s="496">
        <v>0.67125000000000001</v>
      </c>
      <c r="I138" s="496">
        <v>0.29650462962962965</v>
      </c>
    </row>
    <row r="139" spans="1:9">
      <c r="A139" s="497">
        <v>27</v>
      </c>
      <c r="B139" s="493">
        <v>2965</v>
      </c>
      <c r="C139" s="494" t="s">
        <v>365</v>
      </c>
      <c r="D139" s="494" t="s">
        <v>236</v>
      </c>
      <c r="E139" s="493" t="s">
        <v>643</v>
      </c>
      <c r="F139" s="495">
        <v>46012</v>
      </c>
      <c r="G139" s="496">
        <v>0.38137731481481479</v>
      </c>
      <c r="H139" s="496">
        <v>0.67179398148148151</v>
      </c>
      <c r="I139" s="496">
        <v>0.29041666666666666</v>
      </c>
    </row>
    <row r="140" spans="1:9">
      <c r="A140" s="497">
        <v>28</v>
      </c>
      <c r="B140" s="493">
        <v>3038</v>
      </c>
      <c r="C140" s="494" t="s">
        <v>201</v>
      </c>
      <c r="D140" s="494" t="s">
        <v>236</v>
      </c>
      <c r="E140" s="493" t="s">
        <v>643</v>
      </c>
      <c r="F140" s="495">
        <v>46012</v>
      </c>
      <c r="G140" s="496">
        <v>0.38616898148148149</v>
      </c>
      <c r="H140" s="496">
        <v>0.66934027777777771</v>
      </c>
      <c r="I140" s="496">
        <v>0.28317129629629628</v>
      </c>
    </row>
    <row r="141" spans="1:9">
      <c r="A141" s="497">
        <v>29</v>
      </c>
      <c r="B141" s="493">
        <v>30410</v>
      </c>
      <c r="C141" s="494" t="s">
        <v>408</v>
      </c>
      <c r="D141" s="494" t="s">
        <v>236</v>
      </c>
      <c r="E141" s="493" t="s">
        <v>643</v>
      </c>
      <c r="F141" s="495">
        <v>46012</v>
      </c>
      <c r="G141" s="496">
        <v>0.36961805555555555</v>
      </c>
      <c r="H141" s="496">
        <v>0.67033564814814817</v>
      </c>
      <c r="I141" s="496">
        <v>0.30071759259259262</v>
      </c>
    </row>
    <row r="142" spans="1:9">
      <c r="A142" s="497">
        <v>30</v>
      </c>
      <c r="B142" s="493">
        <v>3052</v>
      </c>
      <c r="C142" s="494" t="s">
        <v>667</v>
      </c>
      <c r="D142" s="494" t="s">
        <v>236</v>
      </c>
      <c r="E142" s="493" t="s">
        <v>643</v>
      </c>
      <c r="F142" s="495">
        <v>46012</v>
      </c>
      <c r="G142" s="496">
        <v>0.37258101851851855</v>
      </c>
      <c r="H142" s="496">
        <v>0.66776620370370365</v>
      </c>
      <c r="I142" s="496">
        <v>0.29518518518518516</v>
      </c>
    </row>
    <row r="143" spans="1:9">
      <c r="A143" s="497">
        <v>31</v>
      </c>
      <c r="B143" s="493">
        <v>3073</v>
      </c>
      <c r="C143" s="494" t="s">
        <v>668</v>
      </c>
      <c r="D143" s="494" t="s">
        <v>236</v>
      </c>
      <c r="E143" s="493" t="s">
        <v>643</v>
      </c>
      <c r="F143" s="495">
        <v>46012</v>
      </c>
      <c r="G143" s="496">
        <v>0.38118055555555558</v>
      </c>
      <c r="H143" s="496">
        <v>0.6691435185185185</v>
      </c>
      <c r="I143" s="496">
        <v>0.28796296296296298</v>
      </c>
    </row>
    <row r="144" spans="1:9">
      <c r="A144" s="497">
        <v>32</v>
      </c>
      <c r="B144" s="493">
        <v>30744</v>
      </c>
      <c r="C144" s="494" t="s">
        <v>308</v>
      </c>
      <c r="D144" s="494" t="s">
        <v>236</v>
      </c>
      <c r="E144" s="493" t="s">
        <v>643</v>
      </c>
      <c r="F144" s="495">
        <v>46012</v>
      </c>
      <c r="G144" s="496">
        <v>0.36342592592592587</v>
      </c>
      <c r="H144" s="496">
        <v>0.66924768518518529</v>
      </c>
      <c r="I144" s="496">
        <v>0.30582175925925925</v>
      </c>
    </row>
    <row r="145" spans="1:9">
      <c r="A145" s="497">
        <v>33</v>
      </c>
      <c r="B145" s="493">
        <v>3080</v>
      </c>
      <c r="C145" s="494" t="s">
        <v>670</v>
      </c>
      <c r="D145" s="494" t="s">
        <v>236</v>
      </c>
      <c r="E145" s="493" t="s">
        <v>643</v>
      </c>
      <c r="F145" s="495">
        <v>46012</v>
      </c>
      <c r="G145" s="496">
        <v>0.35214120370370372</v>
      </c>
      <c r="H145" s="496">
        <v>0.67401620370370363</v>
      </c>
      <c r="I145" s="496">
        <v>0.32187499999999997</v>
      </c>
    </row>
    <row r="146" spans="1:9">
      <c r="A146" s="497">
        <v>34</v>
      </c>
      <c r="B146" s="493">
        <v>3081</v>
      </c>
      <c r="C146" s="494" t="s">
        <v>671</v>
      </c>
      <c r="D146" s="494" t="s">
        <v>236</v>
      </c>
      <c r="E146" s="493" t="s">
        <v>643</v>
      </c>
      <c r="F146" s="495">
        <v>46012</v>
      </c>
      <c r="G146" s="496">
        <v>0.31450231481481478</v>
      </c>
      <c r="H146" s="496">
        <v>0.67526620370370372</v>
      </c>
      <c r="I146" s="496">
        <v>0.36076388888888888</v>
      </c>
    </row>
    <row r="147" spans="1:9">
      <c r="A147" s="497">
        <v>35</v>
      </c>
      <c r="B147" s="493">
        <v>3084</v>
      </c>
      <c r="C147" s="494" t="s">
        <v>389</v>
      </c>
      <c r="D147" s="494" t="s">
        <v>236</v>
      </c>
      <c r="E147" s="493" t="s">
        <v>643</v>
      </c>
      <c r="F147" s="495">
        <v>46012</v>
      </c>
      <c r="G147" s="496">
        <v>0.38148148148148148</v>
      </c>
      <c r="H147" s="496">
        <v>0.67226851851851854</v>
      </c>
      <c r="I147" s="496">
        <v>0.29078703703703707</v>
      </c>
    </row>
    <row r="148" spans="1:9">
      <c r="A148" s="497">
        <v>36</v>
      </c>
      <c r="B148" s="493">
        <v>3089</v>
      </c>
      <c r="C148" s="494" t="s">
        <v>416</v>
      </c>
      <c r="D148" s="494" t="s">
        <v>236</v>
      </c>
      <c r="E148" s="493" t="s">
        <v>643</v>
      </c>
      <c r="F148" s="495">
        <v>46012</v>
      </c>
      <c r="G148" s="496">
        <v>0.37934027777777773</v>
      </c>
      <c r="H148" s="496">
        <v>0.67172453703703694</v>
      </c>
      <c r="I148" s="496">
        <v>0.29238425925925926</v>
      </c>
    </row>
    <row r="149" spans="1:9">
      <c r="A149" s="497">
        <v>37</v>
      </c>
      <c r="B149" s="493">
        <v>3090</v>
      </c>
      <c r="C149" s="494" t="s">
        <v>672</v>
      </c>
      <c r="D149" s="494" t="s">
        <v>236</v>
      </c>
      <c r="E149" s="493" t="s">
        <v>643</v>
      </c>
      <c r="F149" s="495">
        <v>46012</v>
      </c>
      <c r="G149" s="496">
        <v>0.3812962962962963</v>
      </c>
      <c r="H149" s="496">
        <v>0.67052083333333334</v>
      </c>
      <c r="I149" s="496">
        <v>0.28922453703703704</v>
      </c>
    </row>
    <row r="150" spans="1:9">
      <c r="A150" s="497">
        <v>38</v>
      </c>
      <c r="B150" s="493">
        <v>30951</v>
      </c>
      <c r="C150" s="494" t="s">
        <v>677</v>
      </c>
      <c r="D150" s="494" t="s">
        <v>236</v>
      </c>
      <c r="E150" s="493" t="s">
        <v>643</v>
      </c>
      <c r="F150" s="495">
        <v>46012</v>
      </c>
      <c r="G150" s="496">
        <v>0.52459490740740744</v>
      </c>
      <c r="H150" s="496">
        <v>0.74915509259259261</v>
      </c>
      <c r="I150" s="496">
        <v>0.22456018518518517</v>
      </c>
    </row>
    <row r="151" spans="1:9">
      <c r="A151" s="497">
        <v>39</v>
      </c>
      <c r="B151" s="493">
        <v>31133</v>
      </c>
      <c r="C151" s="494" t="s">
        <v>567</v>
      </c>
      <c r="D151" s="494" t="s">
        <v>236</v>
      </c>
      <c r="E151" s="493" t="s">
        <v>643</v>
      </c>
      <c r="F151" s="495">
        <v>46012</v>
      </c>
      <c r="G151" s="496">
        <v>0.3658912037037037</v>
      </c>
      <c r="H151" s="496">
        <v>0.6729398148148148</v>
      </c>
      <c r="I151" s="496">
        <v>0.30704861111111109</v>
      </c>
    </row>
    <row r="152" spans="1:9">
      <c r="A152" s="497">
        <v>40</v>
      </c>
      <c r="B152" s="493">
        <v>312</v>
      </c>
      <c r="C152" s="494" t="s">
        <v>689</v>
      </c>
      <c r="D152" s="494" t="s">
        <v>236</v>
      </c>
      <c r="E152" s="493" t="s">
        <v>643</v>
      </c>
      <c r="F152" s="495">
        <v>46012</v>
      </c>
      <c r="G152" s="496">
        <v>0.37158564814814815</v>
      </c>
      <c r="H152" s="496">
        <v>0.67055555555555557</v>
      </c>
      <c r="I152" s="496">
        <v>0.29896990740740742</v>
      </c>
    </row>
    <row r="153" spans="1:9">
      <c r="A153" s="497">
        <v>41</v>
      </c>
      <c r="B153" s="493">
        <v>3129</v>
      </c>
      <c r="C153" s="494" t="s">
        <v>691</v>
      </c>
      <c r="D153" s="494" t="s">
        <v>236</v>
      </c>
      <c r="E153" s="493" t="s">
        <v>643</v>
      </c>
      <c r="F153" s="495">
        <v>46012</v>
      </c>
      <c r="G153" s="496">
        <v>0.37062499999999998</v>
      </c>
      <c r="H153" s="496">
        <v>0.67024305555555552</v>
      </c>
      <c r="I153" s="496">
        <v>0.29961805555555554</v>
      </c>
    </row>
    <row r="154" spans="1:9">
      <c r="A154" s="497">
        <v>42</v>
      </c>
      <c r="B154" s="493">
        <v>3205</v>
      </c>
      <c r="C154" s="494" t="s">
        <v>693</v>
      </c>
      <c r="D154" s="494" t="s">
        <v>236</v>
      </c>
      <c r="E154" s="493" t="s">
        <v>643</v>
      </c>
      <c r="F154" s="495">
        <v>46012</v>
      </c>
      <c r="G154" s="496">
        <v>0.37185185185185188</v>
      </c>
      <c r="H154" s="496">
        <v>0.66672453703703705</v>
      </c>
      <c r="I154" s="496">
        <v>0.29487268518518517</v>
      </c>
    </row>
    <row r="155" spans="1:9">
      <c r="A155" s="497">
        <v>43</v>
      </c>
      <c r="B155" s="493">
        <v>523</v>
      </c>
      <c r="C155" s="494" t="s">
        <v>348</v>
      </c>
      <c r="D155" s="494" t="s">
        <v>236</v>
      </c>
      <c r="E155" s="493" t="s">
        <v>643</v>
      </c>
      <c r="F155" s="495">
        <v>46012</v>
      </c>
      <c r="G155" s="496">
        <v>0.38918981481481479</v>
      </c>
      <c r="H155" s="496">
        <v>0.6740856481481482</v>
      </c>
      <c r="I155" s="496">
        <v>0.28489583333333335</v>
      </c>
    </row>
    <row r="156" spans="1:9">
      <c r="A156" s="497">
        <v>44</v>
      </c>
      <c r="B156" s="493">
        <v>633</v>
      </c>
      <c r="C156" s="494" t="s">
        <v>695</v>
      </c>
      <c r="D156" s="494" t="s">
        <v>236</v>
      </c>
      <c r="E156" s="493" t="s">
        <v>643</v>
      </c>
      <c r="F156" s="495">
        <v>46012</v>
      </c>
      <c r="G156" s="496">
        <v>0.39059027777777783</v>
      </c>
      <c r="H156" s="496">
        <v>0.6690625</v>
      </c>
      <c r="I156" s="496">
        <v>0.27847222222222223</v>
      </c>
    </row>
    <row r="157" spans="1:9">
      <c r="A157" s="497">
        <v>45</v>
      </c>
      <c r="B157" s="493">
        <v>2613</v>
      </c>
      <c r="C157" s="494" t="s">
        <v>655</v>
      </c>
      <c r="D157" s="494" t="s">
        <v>236</v>
      </c>
      <c r="E157" s="493" t="s">
        <v>656</v>
      </c>
      <c r="F157" s="495">
        <v>46012</v>
      </c>
      <c r="G157" s="496">
        <v>0.32356481481481481</v>
      </c>
      <c r="H157" s="496">
        <v>0.72806712962962961</v>
      </c>
      <c r="I157" s="496">
        <v>0.4045023148148148</v>
      </c>
    </row>
    <row r="158" spans="1:9">
      <c r="A158" s="497">
        <v>46</v>
      </c>
      <c r="B158" s="493">
        <v>2700</v>
      </c>
      <c r="C158" s="494" t="s">
        <v>657</v>
      </c>
      <c r="D158" s="494" t="s">
        <v>236</v>
      </c>
      <c r="E158" s="493" t="s">
        <v>656</v>
      </c>
      <c r="F158" s="495">
        <v>46012</v>
      </c>
      <c r="G158" s="496">
        <v>0.35119212962962965</v>
      </c>
      <c r="H158" s="496">
        <v>0.7279282407407407</v>
      </c>
      <c r="I158" s="496">
        <v>0.3767361111111111</v>
      </c>
    </row>
    <row r="159" spans="1:9">
      <c r="A159" s="497">
        <v>47</v>
      </c>
      <c r="B159" s="493">
        <v>2940</v>
      </c>
      <c r="C159" s="494" t="s">
        <v>663</v>
      </c>
      <c r="D159" s="494" t="s">
        <v>236</v>
      </c>
      <c r="E159" s="493" t="s">
        <v>656</v>
      </c>
      <c r="F159" s="495">
        <v>46012</v>
      </c>
      <c r="G159" s="496">
        <v>0.35184027777777777</v>
      </c>
      <c r="H159" s="496">
        <v>0.6693634259259259</v>
      </c>
      <c r="I159" s="496">
        <v>0.31752314814814814</v>
      </c>
    </row>
    <row r="160" spans="1:9">
      <c r="A160" s="497">
        <v>48</v>
      </c>
      <c r="B160" s="493">
        <v>2996</v>
      </c>
      <c r="C160" s="494" t="s">
        <v>701</v>
      </c>
      <c r="D160" s="494" t="s">
        <v>236</v>
      </c>
      <c r="E160" s="493" t="s">
        <v>656</v>
      </c>
      <c r="F160" s="495">
        <v>46012</v>
      </c>
      <c r="G160" s="496">
        <v>0.31831018518518522</v>
      </c>
      <c r="H160" s="496">
        <v>0.72813657407407406</v>
      </c>
      <c r="I160" s="496">
        <v>0.40982638888888889</v>
      </c>
    </row>
    <row r="161" spans="1:9">
      <c r="A161" s="497">
        <v>49</v>
      </c>
      <c r="B161" s="493">
        <v>3178</v>
      </c>
      <c r="C161" s="494" t="s">
        <v>692</v>
      </c>
      <c r="D161" s="494" t="s">
        <v>236</v>
      </c>
      <c r="E161" s="493" t="s">
        <v>656</v>
      </c>
      <c r="F161" s="495">
        <v>46012</v>
      </c>
      <c r="G161" s="496">
        <v>0.33247685185185188</v>
      </c>
      <c r="H161" s="496">
        <v>0.63089120370370366</v>
      </c>
      <c r="I161" s="496">
        <v>0.29841435185185183</v>
      </c>
    </row>
  </sheetData>
  <mergeCells count="14">
    <mergeCell ref="A1:H1"/>
    <mergeCell ref="A2:H2"/>
    <mergeCell ref="A3:H3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A107:I107"/>
    <mergeCell ref="A108:I108"/>
    <mergeCell ref="A109:I109"/>
  </mergeCells>
  <pageMargins left="0.39370078740157483" right="0.39370078740157483" top="0.39370078740157483" bottom="0.3937007874015748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Sheet1</vt:lpstr>
      <vt:lpstr>ACSE-March</vt:lpstr>
      <vt:lpstr>June-24</vt:lpstr>
      <vt:lpstr>July-24</vt:lpstr>
      <vt:lpstr>Sept.-24</vt:lpstr>
      <vt:lpstr>Oct.24</vt:lpstr>
      <vt:lpstr>Nov24</vt:lpstr>
      <vt:lpstr>Chairman Sir meeting-25.11.24</vt:lpstr>
      <vt:lpstr>Dec.24</vt:lpstr>
      <vt:lpstr>Jan-25</vt:lpstr>
      <vt:lpstr>Feb-March-25</vt:lpstr>
      <vt:lpstr>Badges</vt:lpstr>
      <vt:lpstr>April-25</vt:lpstr>
      <vt:lpstr>May-25</vt:lpstr>
      <vt:lpstr>June 2025</vt:lpstr>
      <vt:lpstr>20 June 25</vt:lpstr>
      <vt:lpstr>01 July 25</vt:lpstr>
      <vt:lpstr>15 July 25</vt:lpstr>
      <vt:lpstr>1-Aug 25</vt:lpstr>
      <vt:lpstr>15 Sept.25</vt:lpstr>
      <vt:lpstr>Oct-25</vt:lpstr>
      <vt:lpstr>15 Nov-25</vt:lpstr>
      <vt:lpstr>1 Dec.-25</vt:lpstr>
      <vt:lpstr>20 Dec.25</vt:lpstr>
      <vt:lpstr>01.01.26</vt:lpstr>
      <vt:lpstr>Sheet3</vt:lpstr>
      <vt:lpstr>Sheet2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Vintha Asritha</cp:lastModifiedBy>
  <cp:lastPrinted>2026-03-04T08:10:42Z</cp:lastPrinted>
  <dcterms:created xsi:type="dcterms:W3CDTF">2023-01-02T03:18:00Z</dcterms:created>
  <dcterms:modified xsi:type="dcterms:W3CDTF">2026-04-16T14:09:09Z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99E33A43B45646C5936568430577BCC8_12</vt:lpwstr>
  </property>
  <property fmtid="{D5CDD505-2E9C-101B-9397-08002B2CF9AE}" pid="3" name="KSOProductBuildVer">
    <vt:lpwstr>1033-12.2.0.21179</vt:lpwstr>
  </property>
</Properties>
</file>